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7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19DC312-2BB1-4FD9-9F7C-DF84701CC859}" xr6:coauthVersionLast="47" xr6:coauthVersionMax="47" xr10:uidLastSave="{00000000-0000-0000-0000-000000000000}"/>
  <bookViews>
    <workbookView xWindow="-108" yWindow="-108" windowWidth="23256" windowHeight="12456" activeTab="1" xr2:uid="{7AFF1E7A-B316-4AFC-958C-F2E89E8623AB}"/>
  </bookViews>
  <sheets>
    <sheet name="Sheet1" sheetId="2" r:id="rId1"/>
    <sheet name="Sheet3" sheetId="8" r:id="rId2"/>
    <sheet name="pima" sheetId="1" r:id="rId3"/>
    <sheet name="EDA_Charts" sheetId="5" r:id="rId4"/>
  </sheets>
  <definedNames>
    <definedName name="_xlchart.v1.0" hidden="1">pima!$G$2:$G$769</definedName>
    <definedName name="_xlchart.v1.1" hidden="1">pima!$F$2:$F$769</definedName>
    <definedName name="_xlchart.v1.2" hidden="1">pima!$B$2:$B$769</definedName>
    <definedName name="_xlchart.v1.3" hidden="1">pima!$C$2:$C$769</definedName>
    <definedName name="_xlchart.v1.4" hidden="1">pima!$H$2:$H$769</definedName>
    <definedName name="_xlchart.v1.5" hidden="1">pima!$D$2:$D$769</definedName>
    <definedName name="_xlchart.v1.6" hidden="1">pima!$E$2:$E$769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M44" i="1"/>
  <c r="N44" i="1"/>
  <c r="O44" i="1"/>
  <c r="P44" i="1"/>
  <c r="Q44" i="1"/>
  <c r="R44" i="1"/>
  <c r="S44" i="1"/>
  <c r="L45" i="1"/>
  <c r="M45" i="1"/>
  <c r="N45" i="1"/>
  <c r="O45" i="1"/>
  <c r="P45" i="1"/>
  <c r="Q45" i="1"/>
  <c r="R45" i="1"/>
  <c r="S45" i="1"/>
  <c r="L46" i="1"/>
  <c r="M46" i="1"/>
  <c r="N46" i="1"/>
  <c r="O46" i="1"/>
  <c r="P46" i="1"/>
  <c r="Q46" i="1"/>
  <c r="R46" i="1"/>
  <c r="S46" i="1"/>
  <c r="L47" i="1"/>
  <c r="M47" i="1"/>
  <c r="N47" i="1"/>
  <c r="O47" i="1"/>
  <c r="P47" i="1"/>
  <c r="Q47" i="1"/>
  <c r="R47" i="1"/>
  <c r="S47" i="1"/>
  <c r="L48" i="1"/>
  <c r="M48" i="1"/>
  <c r="N48" i="1"/>
  <c r="O48" i="1"/>
  <c r="P48" i="1"/>
  <c r="Q48" i="1"/>
  <c r="R48" i="1"/>
  <c r="S48" i="1"/>
  <c r="L49" i="1"/>
  <c r="M49" i="1"/>
  <c r="N49" i="1"/>
  <c r="O49" i="1"/>
  <c r="P49" i="1"/>
  <c r="Q49" i="1"/>
  <c r="R49" i="1"/>
  <c r="S49" i="1"/>
  <c r="L50" i="1"/>
  <c r="M50" i="1"/>
  <c r="N50" i="1"/>
  <c r="O50" i="1"/>
  <c r="P50" i="1"/>
  <c r="Q50" i="1"/>
  <c r="R50" i="1"/>
  <c r="S50" i="1"/>
  <c r="L51" i="1"/>
  <c r="M51" i="1"/>
  <c r="N51" i="1"/>
  <c r="O51" i="1"/>
  <c r="P51" i="1"/>
  <c r="Q51" i="1"/>
  <c r="R51" i="1"/>
  <c r="S51" i="1"/>
  <c r="L30" i="1"/>
  <c r="M30" i="1"/>
  <c r="N30" i="1"/>
  <c r="O30" i="1"/>
  <c r="P30" i="1"/>
  <c r="L31" i="1"/>
  <c r="M31" i="1"/>
  <c r="N31" i="1"/>
  <c r="O31" i="1"/>
  <c r="P31" i="1"/>
  <c r="L32" i="1"/>
  <c r="M32" i="1"/>
  <c r="N32" i="1"/>
  <c r="O32" i="1"/>
  <c r="P32" i="1"/>
  <c r="L33" i="1"/>
  <c r="M33" i="1"/>
  <c r="N33" i="1"/>
  <c r="O33" i="1"/>
  <c r="P33" i="1"/>
  <c r="L34" i="1"/>
  <c r="M34" i="1"/>
  <c r="N34" i="1"/>
  <c r="O34" i="1"/>
  <c r="P34" i="1"/>
  <c r="L35" i="1"/>
  <c r="M35" i="1"/>
  <c r="N35" i="1"/>
  <c r="O35" i="1"/>
  <c r="P35" i="1"/>
  <c r="L36" i="1"/>
  <c r="M36" i="1"/>
  <c r="N36" i="1"/>
  <c r="O36" i="1"/>
  <c r="P36" i="1"/>
  <c r="L37" i="1"/>
  <c r="M37" i="1"/>
  <c r="N37" i="1"/>
  <c r="O37" i="1"/>
  <c r="P3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15" i="1"/>
  <c r="M6" i="1"/>
  <c r="L14" i="1"/>
  <c r="M7" i="1"/>
  <c r="N6" i="1"/>
  <c r="T6" i="1"/>
  <c r="T7" i="1"/>
  <c r="T8" i="1"/>
  <c r="T9" i="1"/>
  <c r="T10" i="1"/>
  <c r="T11" i="1"/>
  <c r="T12" i="1"/>
  <c r="S6" i="1"/>
  <c r="S7" i="1"/>
  <c r="S8" i="1"/>
  <c r="S9" i="1"/>
  <c r="S10" i="1"/>
  <c r="S11" i="1"/>
  <c r="S12" i="1"/>
  <c r="R6" i="1"/>
  <c r="R7" i="1"/>
  <c r="R8" i="1"/>
  <c r="R9" i="1"/>
  <c r="R10" i="1"/>
  <c r="R11" i="1"/>
  <c r="R12" i="1"/>
  <c r="Q6" i="1"/>
  <c r="Q7" i="1"/>
  <c r="Q8" i="1"/>
  <c r="Q9" i="1"/>
  <c r="Q10" i="1"/>
  <c r="Q11" i="1"/>
  <c r="Q12" i="1"/>
  <c r="P6" i="1"/>
  <c r="P7" i="1"/>
  <c r="P8" i="1"/>
  <c r="P9" i="1"/>
  <c r="P10" i="1"/>
  <c r="P11" i="1"/>
  <c r="P12" i="1"/>
  <c r="O6" i="1"/>
  <c r="O7" i="1"/>
  <c r="O8" i="1"/>
  <c r="O9" i="1"/>
  <c r="O10" i="1"/>
  <c r="O11" i="1"/>
  <c r="O12" i="1"/>
  <c r="N7" i="1"/>
  <c r="N8" i="1"/>
  <c r="N9" i="1"/>
  <c r="N10" i="1"/>
  <c r="N11" i="1"/>
  <c r="N12" i="1"/>
  <c r="M8" i="1"/>
  <c r="M9" i="1"/>
  <c r="M10" i="1"/>
  <c r="M11" i="1"/>
  <c r="M12" i="1"/>
</calcChain>
</file>

<file path=xl/sharedStrings.xml><?xml version="1.0" encoding="utf-8"?>
<sst xmlns="http://schemas.openxmlformats.org/spreadsheetml/2006/main" count="183" uniqueCount="59">
  <si>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</si>
  <si>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</si>
  <si>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</si>
  <si>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</si>
  <si>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</si>
  <si>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</si>
  <si>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</si>
  <si>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</si>
  <si>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</si>
  <si>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</si>
  <si>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</si>
  <si>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</si>
  <si>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</si>
  <si>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</si>
  <si>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</si>
  <si>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</si>
  <si>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</si>
  <si>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</si>
  <si>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</si>
  <si>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</si>
  <si>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</si>
  <si>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</si>
  <si>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Thống kê</t>
  </si>
  <si>
    <t>Min</t>
  </si>
  <si>
    <t>Max</t>
  </si>
  <si>
    <t>StdDev</t>
  </si>
  <si>
    <t>Count(0)</t>
  </si>
  <si>
    <t xml:space="preserve">Số cột </t>
  </si>
  <si>
    <t>Số dòng</t>
  </si>
  <si>
    <t>Biến (Cột)</t>
  </si>
  <si>
    <t>Số ô trống</t>
  </si>
  <si>
    <t>% thiếu</t>
  </si>
  <si>
    <t>Pregnancies (A)</t>
  </si>
  <si>
    <t>Glucose (B)</t>
  </si>
  <si>
    <t>BloodPressure (C)</t>
  </si>
  <si>
    <t>SkinThickness (D)</t>
  </si>
  <si>
    <t>Insulin (E)</t>
  </si>
  <si>
    <t>BMI (F)</t>
  </si>
  <si>
    <t>DiabetesPedigreeFunction(G)</t>
  </si>
  <si>
    <t>Age (H)</t>
  </si>
  <si>
    <t>Outcome (I)</t>
  </si>
  <si>
    <t>Q1 (25%)</t>
  </si>
  <si>
    <t>Q3 (75%)</t>
  </si>
  <si>
    <t>IQR</t>
  </si>
  <si>
    <t>Lower Bound</t>
  </si>
  <si>
    <t>Upper Bound</t>
  </si>
  <si>
    <t>BloodPressure(C)</t>
  </si>
  <si>
    <t>SkinThickness(D)</t>
  </si>
  <si>
    <t>DiabetesPedigree(G)</t>
  </si>
  <si>
    <t>Row Labels</t>
  </si>
  <si>
    <t>Grand Total</t>
  </si>
  <si>
    <t>Sum of Glucose</t>
  </si>
  <si>
    <t>Sum of BloodPressure</t>
  </si>
  <si>
    <t>Sum of SkinThickness</t>
  </si>
  <si>
    <t>Sum of Pregnancies</t>
  </si>
  <si>
    <t>Sum of Insulin</t>
  </si>
  <si>
    <t>Sum of BMI</t>
  </si>
  <si>
    <t>Sum of DiabetesPedigreeFunction</t>
  </si>
  <si>
    <t>Sum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</si>
</sst>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0" fillId="0" borderId="12" xfId="0" applyBorder="1"/>
    <xf numFmtId="0" fontId="16" fillId="0" borderId="12" xfId="0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Pregnancies vs 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pima!$H$2:$H$769</c:f>
              <c:numCache>
                <c:formatCode>General</c:formatCode>
                <c:ptCount val="768"/>
                <c:pt idx="0">
                  <c:v>50</c:v>
                </c:pt>
                <c:pt idx="1">
                  <c:v>31</c:v>
                </c:pt>
                <c:pt idx="2">
                  <c:v>32</c:v>
                </c:pt>
                <c:pt idx="3">
                  <c:v>21</c:v>
                </c:pt>
                <c:pt idx="4">
                  <c:v>33</c:v>
                </c:pt>
                <c:pt idx="5">
                  <c:v>30</c:v>
                </c:pt>
                <c:pt idx="6">
                  <c:v>26</c:v>
                </c:pt>
                <c:pt idx="7">
                  <c:v>29</c:v>
                </c:pt>
                <c:pt idx="8">
                  <c:v>53</c:v>
                </c:pt>
                <c:pt idx="9">
                  <c:v>54</c:v>
                </c:pt>
                <c:pt idx="10">
                  <c:v>30</c:v>
                </c:pt>
                <c:pt idx="11">
                  <c:v>34</c:v>
                </c:pt>
                <c:pt idx="12">
                  <c:v>57</c:v>
                </c:pt>
                <c:pt idx="13">
                  <c:v>59</c:v>
                </c:pt>
                <c:pt idx="14">
                  <c:v>51</c:v>
                </c:pt>
                <c:pt idx="15">
                  <c:v>32</c:v>
                </c:pt>
                <c:pt idx="16">
                  <c:v>31</c:v>
                </c:pt>
                <c:pt idx="17">
                  <c:v>31</c:v>
                </c:pt>
                <c:pt idx="18">
                  <c:v>33</c:v>
                </c:pt>
                <c:pt idx="19">
                  <c:v>32</c:v>
                </c:pt>
                <c:pt idx="20">
                  <c:v>27</c:v>
                </c:pt>
                <c:pt idx="21">
                  <c:v>50</c:v>
                </c:pt>
                <c:pt idx="22">
                  <c:v>41</c:v>
                </c:pt>
                <c:pt idx="23">
                  <c:v>29</c:v>
                </c:pt>
                <c:pt idx="24">
                  <c:v>51</c:v>
                </c:pt>
                <c:pt idx="25">
                  <c:v>41</c:v>
                </c:pt>
                <c:pt idx="26">
                  <c:v>43</c:v>
                </c:pt>
                <c:pt idx="27">
                  <c:v>22</c:v>
                </c:pt>
                <c:pt idx="28">
                  <c:v>57</c:v>
                </c:pt>
                <c:pt idx="29">
                  <c:v>38</c:v>
                </c:pt>
                <c:pt idx="30">
                  <c:v>60</c:v>
                </c:pt>
                <c:pt idx="31">
                  <c:v>28</c:v>
                </c:pt>
                <c:pt idx="32">
                  <c:v>22</c:v>
                </c:pt>
                <c:pt idx="33">
                  <c:v>28</c:v>
                </c:pt>
                <c:pt idx="34">
                  <c:v>45</c:v>
                </c:pt>
                <c:pt idx="35">
                  <c:v>33</c:v>
                </c:pt>
                <c:pt idx="36">
                  <c:v>35</c:v>
                </c:pt>
                <c:pt idx="37">
                  <c:v>46</c:v>
                </c:pt>
                <c:pt idx="38">
                  <c:v>27</c:v>
                </c:pt>
                <c:pt idx="39">
                  <c:v>56</c:v>
                </c:pt>
                <c:pt idx="40">
                  <c:v>26</c:v>
                </c:pt>
                <c:pt idx="41">
                  <c:v>37</c:v>
                </c:pt>
                <c:pt idx="42">
                  <c:v>48</c:v>
                </c:pt>
                <c:pt idx="43">
                  <c:v>54</c:v>
                </c:pt>
                <c:pt idx="44">
                  <c:v>40</c:v>
                </c:pt>
                <c:pt idx="45">
                  <c:v>25</c:v>
                </c:pt>
                <c:pt idx="46">
                  <c:v>29</c:v>
                </c:pt>
                <c:pt idx="47">
                  <c:v>22</c:v>
                </c:pt>
                <c:pt idx="48">
                  <c:v>31</c:v>
                </c:pt>
                <c:pt idx="49">
                  <c:v>24</c:v>
                </c:pt>
                <c:pt idx="50">
                  <c:v>22</c:v>
                </c:pt>
                <c:pt idx="51">
                  <c:v>26</c:v>
                </c:pt>
                <c:pt idx="52">
                  <c:v>30</c:v>
                </c:pt>
                <c:pt idx="53">
                  <c:v>58</c:v>
                </c:pt>
                <c:pt idx="54">
                  <c:v>42</c:v>
                </c:pt>
                <c:pt idx="55">
                  <c:v>21</c:v>
                </c:pt>
                <c:pt idx="56">
                  <c:v>41</c:v>
                </c:pt>
                <c:pt idx="57">
                  <c:v>31</c:v>
                </c:pt>
                <c:pt idx="58">
                  <c:v>44</c:v>
                </c:pt>
                <c:pt idx="59">
                  <c:v>22</c:v>
                </c:pt>
                <c:pt idx="60">
                  <c:v>21</c:v>
                </c:pt>
                <c:pt idx="61">
                  <c:v>39</c:v>
                </c:pt>
                <c:pt idx="62">
                  <c:v>36</c:v>
                </c:pt>
                <c:pt idx="63">
                  <c:v>24</c:v>
                </c:pt>
                <c:pt idx="64">
                  <c:v>42</c:v>
                </c:pt>
                <c:pt idx="65">
                  <c:v>32</c:v>
                </c:pt>
                <c:pt idx="66">
                  <c:v>38</c:v>
                </c:pt>
                <c:pt idx="67">
                  <c:v>54</c:v>
                </c:pt>
                <c:pt idx="68">
                  <c:v>25</c:v>
                </c:pt>
                <c:pt idx="69">
                  <c:v>27</c:v>
                </c:pt>
                <c:pt idx="70">
                  <c:v>28</c:v>
                </c:pt>
                <c:pt idx="71">
                  <c:v>26</c:v>
                </c:pt>
                <c:pt idx="72">
                  <c:v>42</c:v>
                </c:pt>
                <c:pt idx="73">
                  <c:v>23</c:v>
                </c:pt>
                <c:pt idx="74">
                  <c:v>22</c:v>
                </c:pt>
                <c:pt idx="75">
                  <c:v>22</c:v>
                </c:pt>
                <c:pt idx="76">
                  <c:v>41</c:v>
                </c:pt>
                <c:pt idx="77">
                  <c:v>27</c:v>
                </c:pt>
                <c:pt idx="78">
                  <c:v>26</c:v>
                </c:pt>
                <c:pt idx="79">
                  <c:v>24</c:v>
                </c:pt>
                <c:pt idx="80">
                  <c:v>22</c:v>
                </c:pt>
                <c:pt idx="81">
                  <c:v>22</c:v>
                </c:pt>
                <c:pt idx="82">
                  <c:v>36</c:v>
                </c:pt>
                <c:pt idx="83">
                  <c:v>22</c:v>
                </c:pt>
                <c:pt idx="84">
                  <c:v>37</c:v>
                </c:pt>
                <c:pt idx="85">
                  <c:v>27</c:v>
                </c:pt>
                <c:pt idx="86">
                  <c:v>45</c:v>
                </c:pt>
                <c:pt idx="87">
                  <c:v>26</c:v>
                </c:pt>
                <c:pt idx="88">
                  <c:v>43</c:v>
                </c:pt>
                <c:pt idx="89">
                  <c:v>24</c:v>
                </c:pt>
                <c:pt idx="90">
                  <c:v>21</c:v>
                </c:pt>
                <c:pt idx="91">
                  <c:v>34</c:v>
                </c:pt>
                <c:pt idx="92">
                  <c:v>42</c:v>
                </c:pt>
                <c:pt idx="93">
                  <c:v>60</c:v>
                </c:pt>
                <c:pt idx="94">
                  <c:v>21</c:v>
                </c:pt>
                <c:pt idx="95">
                  <c:v>40</c:v>
                </c:pt>
                <c:pt idx="96">
                  <c:v>24</c:v>
                </c:pt>
                <c:pt idx="97">
                  <c:v>22</c:v>
                </c:pt>
                <c:pt idx="98">
                  <c:v>23</c:v>
                </c:pt>
                <c:pt idx="99">
                  <c:v>31</c:v>
                </c:pt>
                <c:pt idx="100">
                  <c:v>33</c:v>
                </c:pt>
                <c:pt idx="101">
                  <c:v>22</c:v>
                </c:pt>
                <c:pt idx="102">
                  <c:v>21</c:v>
                </c:pt>
                <c:pt idx="103">
                  <c:v>24</c:v>
                </c:pt>
                <c:pt idx="104">
                  <c:v>27</c:v>
                </c:pt>
                <c:pt idx="105">
                  <c:v>21</c:v>
                </c:pt>
                <c:pt idx="106">
                  <c:v>27</c:v>
                </c:pt>
                <c:pt idx="107">
                  <c:v>37</c:v>
                </c:pt>
                <c:pt idx="108">
                  <c:v>25</c:v>
                </c:pt>
                <c:pt idx="109">
                  <c:v>24</c:v>
                </c:pt>
                <c:pt idx="110">
                  <c:v>24</c:v>
                </c:pt>
                <c:pt idx="111">
                  <c:v>46</c:v>
                </c:pt>
                <c:pt idx="112">
                  <c:v>23</c:v>
                </c:pt>
                <c:pt idx="113">
                  <c:v>25</c:v>
                </c:pt>
                <c:pt idx="114">
                  <c:v>39</c:v>
                </c:pt>
                <c:pt idx="115">
                  <c:v>61</c:v>
                </c:pt>
                <c:pt idx="116">
                  <c:v>38</c:v>
                </c:pt>
                <c:pt idx="117">
                  <c:v>25</c:v>
                </c:pt>
                <c:pt idx="118">
                  <c:v>22</c:v>
                </c:pt>
                <c:pt idx="119">
                  <c:v>21</c:v>
                </c:pt>
                <c:pt idx="120">
                  <c:v>25</c:v>
                </c:pt>
                <c:pt idx="121">
                  <c:v>24</c:v>
                </c:pt>
                <c:pt idx="122">
                  <c:v>23</c:v>
                </c:pt>
                <c:pt idx="123">
                  <c:v>69</c:v>
                </c:pt>
                <c:pt idx="124">
                  <c:v>23</c:v>
                </c:pt>
                <c:pt idx="125">
                  <c:v>26</c:v>
                </c:pt>
                <c:pt idx="126">
                  <c:v>30</c:v>
                </c:pt>
                <c:pt idx="127">
                  <c:v>23</c:v>
                </c:pt>
                <c:pt idx="128">
                  <c:v>40</c:v>
                </c:pt>
                <c:pt idx="129">
                  <c:v>62</c:v>
                </c:pt>
                <c:pt idx="130">
                  <c:v>33</c:v>
                </c:pt>
                <c:pt idx="131">
                  <c:v>33</c:v>
                </c:pt>
                <c:pt idx="132">
                  <c:v>30</c:v>
                </c:pt>
                <c:pt idx="133">
                  <c:v>39</c:v>
                </c:pt>
                <c:pt idx="134">
                  <c:v>26</c:v>
                </c:pt>
                <c:pt idx="135">
                  <c:v>31</c:v>
                </c:pt>
                <c:pt idx="136">
                  <c:v>21</c:v>
                </c:pt>
                <c:pt idx="137">
                  <c:v>22</c:v>
                </c:pt>
                <c:pt idx="138">
                  <c:v>29</c:v>
                </c:pt>
                <c:pt idx="139">
                  <c:v>28</c:v>
                </c:pt>
                <c:pt idx="140">
                  <c:v>55</c:v>
                </c:pt>
                <c:pt idx="141">
                  <c:v>38</c:v>
                </c:pt>
                <c:pt idx="142">
                  <c:v>22</c:v>
                </c:pt>
                <c:pt idx="143">
                  <c:v>42</c:v>
                </c:pt>
                <c:pt idx="144">
                  <c:v>23</c:v>
                </c:pt>
                <c:pt idx="145">
                  <c:v>21</c:v>
                </c:pt>
                <c:pt idx="146">
                  <c:v>41</c:v>
                </c:pt>
                <c:pt idx="147">
                  <c:v>34</c:v>
                </c:pt>
                <c:pt idx="148">
                  <c:v>65</c:v>
                </c:pt>
                <c:pt idx="149">
                  <c:v>22</c:v>
                </c:pt>
                <c:pt idx="150">
                  <c:v>24</c:v>
                </c:pt>
                <c:pt idx="151">
                  <c:v>37</c:v>
                </c:pt>
                <c:pt idx="152">
                  <c:v>42</c:v>
                </c:pt>
                <c:pt idx="153">
                  <c:v>23</c:v>
                </c:pt>
                <c:pt idx="154">
                  <c:v>43</c:v>
                </c:pt>
                <c:pt idx="155">
                  <c:v>36</c:v>
                </c:pt>
                <c:pt idx="156">
                  <c:v>21</c:v>
                </c:pt>
                <c:pt idx="157">
                  <c:v>23</c:v>
                </c:pt>
                <c:pt idx="158">
                  <c:v>22</c:v>
                </c:pt>
                <c:pt idx="159">
                  <c:v>47</c:v>
                </c:pt>
                <c:pt idx="160">
                  <c:v>36</c:v>
                </c:pt>
                <c:pt idx="161">
                  <c:v>45</c:v>
                </c:pt>
                <c:pt idx="162">
                  <c:v>27</c:v>
                </c:pt>
                <c:pt idx="163">
                  <c:v>21</c:v>
                </c:pt>
                <c:pt idx="164">
                  <c:v>32</c:v>
                </c:pt>
                <c:pt idx="165">
                  <c:v>41</c:v>
                </c:pt>
                <c:pt idx="166">
                  <c:v>22</c:v>
                </c:pt>
                <c:pt idx="167">
                  <c:v>34</c:v>
                </c:pt>
                <c:pt idx="168">
                  <c:v>29</c:v>
                </c:pt>
                <c:pt idx="169">
                  <c:v>29</c:v>
                </c:pt>
                <c:pt idx="170">
                  <c:v>36</c:v>
                </c:pt>
                <c:pt idx="171">
                  <c:v>29</c:v>
                </c:pt>
                <c:pt idx="172">
                  <c:v>25</c:v>
                </c:pt>
                <c:pt idx="173">
                  <c:v>23</c:v>
                </c:pt>
                <c:pt idx="174">
                  <c:v>33</c:v>
                </c:pt>
                <c:pt idx="175">
                  <c:v>36</c:v>
                </c:pt>
                <c:pt idx="176">
                  <c:v>42</c:v>
                </c:pt>
                <c:pt idx="177">
                  <c:v>26</c:v>
                </c:pt>
                <c:pt idx="178">
                  <c:v>47</c:v>
                </c:pt>
                <c:pt idx="179">
                  <c:v>37</c:v>
                </c:pt>
                <c:pt idx="180">
                  <c:v>32</c:v>
                </c:pt>
                <c:pt idx="181">
                  <c:v>23</c:v>
                </c:pt>
                <c:pt idx="182">
                  <c:v>21</c:v>
                </c:pt>
                <c:pt idx="183">
                  <c:v>27</c:v>
                </c:pt>
                <c:pt idx="184">
                  <c:v>40</c:v>
                </c:pt>
                <c:pt idx="185">
                  <c:v>41</c:v>
                </c:pt>
                <c:pt idx="186">
                  <c:v>60</c:v>
                </c:pt>
                <c:pt idx="187">
                  <c:v>33</c:v>
                </c:pt>
                <c:pt idx="188">
                  <c:v>31</c:v>
                </c:pt>
                <c:pt idx="189">
                  <c:v>25</c:v>
                </c:pt>
                <c:pt idx="190">
                  <c:v>21</c:v>
                </c:pt>
                <c:pt idx="191">
                  <c:v>40</c:v>
                </c:pt>
                <c:pt idx="192">
                  <c:v>36</c:v>
                </c:pt>
                <c:pt idx="193">
                  <c:v>40</c:v>
                </c:pt>
                <c:pt idx="194">
                  <c:v>42</c:v>
                </c:pt>
                <c:pt idx="195">
                  <c:v>29</c:v>
                </c:pt>
                <c:pt idx="196">
                  <c:v>21</c:v>
                </c:pt>
                <c:pt idx="197">
                  <c:v>23</c:v>
                </c:pt>
                <c:pt idx="198">
                  <c:v>26</c:v>
                </c:pt>
                <c:pt idx="199">
                  <c:v>29</c:v>
                </c:pt>
                <c:pt idx="200">
                  <c:v>21</c:v>
                </c:pt>
                <c:pt idx="201">
                  <c:v>28</c:v>
                </c:pt>
                <c:pt idx="202">
                  <c:v>32</c:v>
                </c:pt>
                <c:pt idx="203">
                  <c:v>27</c:v>
                </c:pt>
                <c:pt idx="204">
                  <c:v>55</c:v>
                </c:pt>
                <c:pt idx="205">
                  <c:v>27</c:v>
                </c:pt>
                <c:pt idx="206">
                  <c:v>57</c:v>
                </c:pt>
                <c:pt idx="207">
                  <c:v>52</c:v>
                </c:pt>
                <c:pt idx="208">
                  <c:v>21</c:v>
                </c:pt>
                <c:pt idx="209">
                  <c:v>41</c:v>
                </c:pt>
                <c:pt idx="210">
                  <c:v>25</c:v>
                </c:pt>
                <c:pt idx="211">
                  <c:v>24</c:v>
                </c:pt>
                <c:pt idx="212">
                  <c:v>60</c:v>
                </c:pt>
                <c:pt idx="213">
                  <c:v>24</c:v>
                </c:pt>
                <c:pt idx="214">
                  <c:v>36</c:v>
                </c:pt>
                <c:pt idx="215">
                  <c:v>38</c:v>
                </c:pt>
                <c:pt idx="216">
                  <c:v>25</c:v>
                </c:pt>
                <c:pt idx="217">
                  <c:v>32</c:v>
                </c:pt>
                <c:pt idx="218">
                  <c:v>32</c:v>
                </c:pt>
                <c:pt idx="219">
                  <c:v>41</c:v>
                </c:pt>
                <c:pt idx="220">
                  <c:v>21</c:v>
                </c:pt>
                <c:pt idx="221">
                  <c:v>66</c:v>
                </c:pt>
                <c:pt idx="222">
                  <c:v>37</c:v>
                </c:pt>
                <c:pt idx="223">
                  <c:v>61</c:v>
                </c:pt>
                <c:pt idx="224">
                  <c:v>26</c:v>
                </c:pt>
                <c:pt idx="225">
                  <c:v>22</c:v>
                </c:pt>
                <c:pt idx="226">
                  <c:v>26</c:v>
                </c:pt>
                <c:pt idx="227">
                  <c:v>24</c:v>
                </c:pt>
                <c:pt idx="228">
                  <c:v>31</c:v>
                </c:pt>
                <c:pt idx="229">
                  <c:v>24</c:v>
                </c:pt>
                <c:pt idx="230">
                  <c:v>22</c:v>
                </c:pt>
                <c:pt idx="231">
                  <c:v>46</c:v>
                </c:pt>
                <c:pt idx="232">
                  <c:v>22</c:v>
                </c:pt>
                <c:pt idx="233">
                  <c:v>29</c:v>
                </c:pt>
                <c:pt idx="234">
                  <c:v>23</c:v>
                </c:pt>
                <c:pt idx="235">
                  <c:v>26</c:v>
                </c:pt>
                <c:pt idx="236">
                  <c:v>51</c:v>
                </c:pt>
                <c:pt idx="237">
                  <c:v>23</c:v>
                </c:pt>
                <c:pt idx="238">
                  <c:v>32</c:v>
                </c:pt>
                <c:pt idx="239">
                  <c:v>27</c:v>
                </c:pt>
                <c:pt idx="240">
                  <c:v>21</c:v>
                </c:pt>
                <c:pt idx="241">
                  <c:v>22</c:v>
                </c:pt>
                <c:pt idx="242">
                  <c:v>22</c:v>
                </c:pt>
                <c:pt idx="243">
                  <c:v>33</c:v>
                </c:pt>
                <c:pt idx="244">
                  <c:v>29</c:v>
                </c:pt>
                <c:pt idx="245">
                  <c:v>49</c:v>
                </c:pt>
                <c:pt idx="246">
                  <c:v>41</c:v>
                </c:pt>
                <c:pt idx="247">
                  <c:v>23</c:v>
                </c:pt>
                <c:pt idx="248">
                  <c:v>34</c:v>
                </c:pt>
                <c:pt idx="249">
                  <c:v>23</c:v>
                </c:pt>
                <c:pt idx="250">
                  <c:v>42</c:v>
                </c:pt>
                <c:pt idx="251">
                  <c:v>27</c:v>
                </c:pt>
                <c:pt idx="252">
                  <c:v>24</c:v>
                </c:pt>
                <c:pt idx="253">
                  <c:v>25</c:v>
                </c:pt>
                <c:pt idx="254">
                  <c:v>44</c:v>
                </c:pt>
                <c:pt idx="255">
                  <c:v>21</c:v>
                </c:pt>
                <c:pt idx="256">
                  <c:v>30</c:v>
                </c:pt>
                <c:pt idx="257">
                  <c:v>25</c:v>
                </c:pt>
                <c:pt idx="258">
                  <c:v>24</c:v>
                </c:pt>
                <c:pt idx="259">
                  <c:v>51</c:v>
                </c:pt>
                <c:pt idx="260">
                  <c:v>34</c:v>
                </c:pt>
                <c:pt idx="261">
                  <c:v>27</c:v>
                </c:pt>
                <c:pt idx="262">
                  <c:v>24</c:v>
                </c:pt>
                <c:pt idx="263">
                  <c:v>63</c:v>
                </c:pt>
                <c:pt idx="264">
                  <c:v>35</c:v>
                </c:pt>
                <c:pt idx="265">
                  <c:v>43</c:v>
                </c:pt>
                <c:pt idx="266">
                  <c:v>25</c:v>
                </c:pt>
                <c:pt idx="267">
                  <c:v>24</c:v>
                </c:pt>
                <c:pt idx="268">
                  <c:v>21</c:v>
                </c:pt>
                <c:pt idx="269">
                  <c:v>28</c:v>
                </c:pt>
                <c:pt idx="270">
                  <c:v>38</c:v>
                </c:pt>
                <c:pt idx="271">
                  <c:v>21</c:v>
                </c:pt>
                <c:pt idx="272">
                  <c:v>40</c:v>
                </c:pt>
                <c:pt idx="273">
                  <c:v>21</c:v>
                </c:pt>
                <c:pt idx="274">
                  <c:v>52</c:v>
                </c:pt>
                <c:pt idx="275">
                  <c:v>25</c:v>
                </c:pt>
                <c:pt idx="276">
                  <c:v>29</c:v>
                </c:pt>
                <c:pt idx="277">
                  <c:v>23</c:v>
                </c:pt>
                <c:pt idx="278">
                  <c:v>57</c:v>
                </c:pt>
                <c:pt idx="279">
                  <c:v>22</c:v>
                </c:pt>
                <c:pt idx="280">
                  <c:v>28</c:v>
                </c:pt>
                <c:pt idx="281">
                  <c:v>39</c:v>
                </c:pt>
                <c:pt idx="282">
                  <c:v>37</c:v>
                </c:pt>
                <c:pt idx="283">
                  <c:v>47</c:v>
                </c:pt>
                <c:pt idx="284">
                  <c:v>52</c:v>
                </c:pt>
                <c:pt idx="285">
                  <c:v>51</c:v>
                </c:pt>
                <c:pt idx="286">
                  <c:v>34</c:v>
                </c:pt>
                <c:pt idx="287">
                  <c:v>29</c:v>
                </c:pt>
                <c:pt idx="288">
                  <c:v>26</c:v>
                </c:pt>
                <c:pt idx="289">
                  <c:v>33</c:v>
                </c:pt>
                <c:pt idx="290">
                  <c:v>21</c:v>
                </c:pt>
                <c:pt idx="291">
                  <c:v>25</c:v>
                </c:pt>
                <c:pt idx="292">
                  <c:v>31</c:v>
                </c:pt>
                <c:pt idx="293">
                  <c:v>24</c:v>
                </c:pt>
                <c:pt idx="294">
                  <c:v>65</c:v>
                </c:pt>
                <c:pt idx="295">
                  <c:v>28</c:v>
                </c:pt>
                <c:pt idx="296">
                  <c:v>29</c:v>
                </c:pt>
                <c:pt idx="297">
                  <c:v>24</c:v>
                </c:pt>
                <c:pt idx="298">
                  <c:v>46</c:v>
                </c:pt>
                <c:pt idx="299">
                  <c:v>58</c:v>
                </c:pt>
                <c:pt idx="300">
                  <c:v>30</c:v>
                </c:pt>
                <c:pt idx="301">
                  <c:v>25</c:v>
                </c:pt>
                <c:pt idx="302">
                  <c:v>35</c:v>
                </c:pt>
                <c:pt idx="303">
                  <c:v>28</c:v>
                </c:pt>
                <c:pt idx="304">
                  <c:v>37</c:v>
                </c:pt>
                <c:pt idx="305">
                  <c:v>29</c:v>
                </c:pt>
                <c:pt idx="306">
                  <c:v>47</c:v>
                </c:pt>
                <c:pt idx="307">
                  <c:v>21</c:v>
                </c:pt>
                <c:pt idx="308">
                  <c:v>25</c:v>
                </c:pt>
                <c:pt idx="309">
                  <c:v>30</c:v>
                </c:pt>
                <c:pt idx="310">
                  <c:v>41</c:v>
                </c:pt>
                <c:pt idx="311">
                  <c:v>22</c:v>
                </c:pt>
                <c:pt idx="312">
                  <c:v>27</c:v>
                </c:pt>
                <c:pt idx="313">
                  <c:v>25</c:v>
                </c:pt>
                <c:pt idx="314">
                  <c:v>43</c:v>
                </c:pt>
                <c:pt idx="315">
                  <c:v>26</c:v>
                </c:pt>
                <c:pt idx="316">
                  <c:v>30</c:v>
                </c:pt>
                <c:pt idx="317">
                  <c:v>29</c:v>
                </c:pt>
                <c:pt idx="318">
                  <c:v>28</c:v>
                </c:pt>
                <c:pt idx="319">
                  <c:v>59</c:v>
                </c:pt>
                <c:pt idx="320">
                  <c:v>31</c:v>
                </c:pt>
                <c:pt idx="321">
                  <c:v>25</c:v>
                </c:pt>
                <c:pt idx="322">
                  <c:v>36</c:v>
                </c:pt>
                <c:pt idx="323">
                  <c:v>43</c:v>
                </c:pt>
                <c:pt idx="324">
                  <c:v>21</c:v>
                </c:pt>
                <c:pt idx="325">
                  <c:v>24</c:v>
                </c:pt>
                <c:pt idx="326">
                  <c:v>30</c:v>
                </c:pt>
                <c:pt idx="327">
                  <c:v>37</c:v>
                </c:pt>
                <c:pt idx="328">
                  <c:v>23</c:v>
                </c:pt>
                <c:pt idx="329">
                  <c:v>37</c:v>
                </c:pt>
                <c:pt idx="330">
                  <c:v>46</c:v>
                </c:pt>
                <c:pt idx="331">
                  <c:v>25</c:v>
                </c:pt>
                <c:pt idx="332">
                  <c:v>41</c:v>
                </c:pt>
                <c:pt idx="333">
                  <c:v>44</c:v>
                </c:pt>
                <c:pt idx="334">
                  <c:v>22</c:v>
                </c:pt>
                <c:pt idx="335">
                  <c:v>26</c:v>
                </c:pt>
                <c:pt idx="336">
                  <c:v>44</c:v>
                </c:pt>
                <c:pt idx="337">
                  <c:v>44</c:v>
                </c:pt>
                <c:pt idx="338">
                  <c:v>33</c:v>
                </c:pt>
                <c:pt idx="339">
                  <c:v>41</c:v>
                </c:pt>
                <c:pt idx="340">
                  <c:v>22</c:v>
                </c:pt>
                <c:pt idx="341">
                  <c:v>36</c:v>
                </c:pt>
                <c:pt idx="342">
                  <c:v>22</c:v>
                </c:pt>
                <c:pt idx="343">
                  <c:v>33</c:v>
                </c:pt>
                <c:pt idx="344">
                  <c:v>57</c:v>
                </c:pt>
                <c:pt idx="345">
                  <c:v>49</c:v>
                </c:pt>
                <c:pt idx="346">
                  <c:v>22</c:v>
                </c:pt>
                <c:pt idx="347">
                  <c:v>23</c:v>
                </c:pt>
                <c:pt idx="348">
                  <c:v>26</c:v>
                </c:pt>
                <c:pt idx="349">
                  <c:v>37</c:v>
                </c:pt>
                <c:pt idx="350">
                  <c:v>29</c:v>
                </c:pt>
                <c:pt idx="351">
                  <c:v>30</c:v>
                </c:pt>
                <c:pt idx="352">
                  <c:v>46</c:v>
                </c:pt>
                <c:pt idx="353">
                  <c:v>24</c:v>
                </c:pt>
                <c:pt idx="354">
                  <c:v>21</c:v>
                </c:pt>
                <c:pt idx="355">
                  <c:v>49</c:v>
                </c:pt>
                <c:pt idx="356">
                  <c:v>28</c:v>
                </c:pt>
                <c:pt idx="357">
                  <c:v>44</c:v>
                </c:pt>
                <c:pt idx="358">
                  <c:v>48</c:v>
                </c:pt>
                <c:pt idx="359">
                  <c:v>29</c:v>
                </c:pt>
                <c:pt idx="360">
                  <c:v>29</c:v>
                </c:pt>
                <c:pt idx="361">
                  <c:v>63</c:v>
                </c:pt>
                <c:pt idx="362">
                  <c:v>65</c:v>
                </c:pt>
                <c:pt idx="363">
                  <c:v>67</c:v>
                </c:pt>
                <c:pt idx="364">
                  <c:v>30</c:v>
                </c:pt>
                <c:pt idx="365">
                  <c:v>30</c:v>
                </c:pt>
                <c:pt idx="366">
                  <c:v>29</c:v>
                </c:pt>
                <c:pt idx="367">
                  <c:v>21</c:v>
                </c:pt>
                <c:pt idx="368">
                  <c:v>22</c:v>
                </c:pt>
                <c:pt idx="369">
                  <c:v>45</c:v>
                </c:pt>
                <c:pt idx="370">
                  <c:v>25</c:v>
                </c:pt>
                <c:pt idx="371">
                  <c:v>21</c:v>
                </c:pt>
                <c:pt idx="372">
                  <c:v>21</c:v>
                </c:pt>
                <c:pt idx="373">
                  <c:v>25</c:v>
                </c:pt>
                <c:pt idx="374">
                  <c:v>28</c:v>
                </c:pt>
                <c:pt idx="375">
                  <c:v>58</c:v>
                </c:pt>
                <c:pt idx="376">
                  <c:v>22</c:v>
                </c:pt>
                <c:pt idx="377">
                  <c:v>22</c:v>
                </c:pt>
                <c:pt idx="378">
                  <c:v>32</c:v>
                </c:pt>
                <c:pt idx="379">
                  <c:v>35</c:v>
                </c:pt>
                <c:pt idx="380">
                  <c:v>24</c:v>
                </c:pt>
                <c:pt idx="381">
                  <c:v>22</c:v>
                </c:pt>
                <c:pt idx="382">
                  <c:v>21</c:v>
                </c:pt>
                <c:pt idx="383">
                  <c:v>25</c:v>
                </c:pt>
                <c:pt idx="384">
                  <c:v>25</c:v>
                </c:pt>
                <c:pt idx="385">
                  <c:v>24</c:v>
                </c:pt>
                <c:pt idx="386">
                  <c:v>35</c:v>
                </c:pt>
                <c:pt idx="387">
                  <c:v>45</c:v>
                </c:pt>
                <c:pt idx="388">
                  <c:v>58</c:v>
                </c:pt>
                <c:pt idx="389">
                  <c:v>28</c:v>
                </c:pt>
                <c:pt idx="390">
                  <c:v>42</c:v>
                </c:pt>
                <c:pt idx="391">
                  <c:v>27</c:v>
                </c:pt>
                <c:pt idx="392">
                  <c:v>21</c:v>
                </c:pt>
                <c:pt idx="393">
                  <c:v>37</c:v>
                </c:pt>
                <c:pt idx="394">
                  <c:v>31</c:v>
                </c:pt>
                <c:pt idx="395">
                  <c:v>25</c:v>
                </c:pt>
                <c:pt idx="396">
                  <c:v>39</c:v>
                </c:pt>
                <c:pt idx="397">
                  <c:v>22</c:v>
                </c:pt>
                <c:pt idx="398">
                  <c:v>25</c:v>
                </c:pt>
                <c:pt idx="399">
                  <c:v>25</c:v>
                </c:pt>
                <c:pt idx="400">
                  <c:v>31</c:v>
                </c:pt>
                <c:pt idx="401">
                  <c:v>55</c:v>
                </c:pt>
                <c:pt idx="402">
                  <c:v>35</c:v>
                </c:pt>
                <c:pt idx="403">
                  <c:v>38</c:v>
                </c:pt>
                <c:pt idx="404">
                  <c:v>41</c:v>
                </c:pt>
                <c:pt idx="405">
                  <c:v>26</c:v>
                </c:pt>
                <c:pt idx="406">
                  <c:v>46</c:v>
                </c:pt>
                <c:pt idx="407">
                  <c:v>25</c:v>
                </c:pt>
                <c:pt idx="408">
                  <c:v>39</c:v>
                </c:pt>
                <c:pt idx="409">
                  <c:v>28</c:v>
                </c:pt>
                <c:pt idx="410">
                  <c:v>28</c:v>
                </c:pt>
                <c:pt idx="411">
                  <c:v>25</c:v>
                </c:pt>
                <c:pt idx="412">
                  <c:v>22</c:v>
                </c:pt>
                <c:pt idx="413">
                  <c:v>21</c:v>
                </c:pt>
                <c:pt idx="414">
                  <c:v>21</c:v>
                </c:pt>
                <c:pt idx="415">
                  <c:v>22</c:v>
                </c:pt>
                <c:pt idx="416">
                  <c:v>22</c:v>
                </c:pt>
                <c:pt idx="417">
                  <c:v>37</c:v>
                </c:pt>
                <c:pt idx="418">
                  <c:v>27</c:v>
                </c:pt>
                <c:pt idx="419">
                  <c:v>28</c:v>
                </c:pt>
                <c:pt idx="420">
                  <c:v>26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36</c:v>
                </c:pt>
                <c:pt idx="425">
                  <c:v>31</c:v>
                </c:pt>
                <c:pt idx="426">
                  <c:v>25</c:v>
                </c:pt>
                <c:pt idx="427">
                  <c:v>38</c:v>
                </c:pt>
                <c:pt idx="428">
                  <c:v>26</c:v>
                </c:pt>
                <c:pt idx="429">
                  <c:v>43</c:v>
                </c:pt>
                <c:pt idx="430">
                  <c:v>23</c:v>
                </c:pt>
                <c:pt idx="431">
                  <c:v>38</c:v>
                </c:pt>
                <c:pt idx="432">
                  <c:v>22</c:v>
                </c:pt>
                <c:pt idx="433">
                  <c:v>29</c:v>
                </c:pt>
                <c:pt idx="434">
                  <c:v>36</c:v>
                </c:pt>
                <c:pt idx="435">
                  <c:v>29</c:v>
                </c:pt>
                <c:pt idx="436">
                  <c:v>41</c:v>
                </c:pt>
                <c:pt idx="437">
                  <c:v>28</c:v>
                </c:pt>
                <c:pt idx="438">
                  <c:v>21</c:v>
                </c:pt>
                <c:pt idx="439">
                  <c:v>31</c:v>
                </c:pt>
                <c:pt idx="440">
                  <c:v>41</c:v>
                </c:pt>
                <c:pt idx="441">
                  <c:v>22</c:v>
                </c:pt>
                <c:pt idx="442">
                  <c:v>24</c:v>
                </c:pt>
                <c:pt idx="443">
                  <c:v>33</c:v>
                </c:pt>
                <c:pt idx="444">
                  <c:v>30</c:v>
                </c:pt>
                <c:pt idx="445">
                  <c:v>25</c:v>
                </c:pt>
                <c:pt idx="446">
                  <c:v>28</c:v>
                </c:pt>
                <c:pt idx="447">
                  <c:v>26</c:v>
                </c:pt>
                <c:pt idx="448">
                  <c:v>22</c:v>
                </c:pt>
                <c:pt idx="449">
                  <c:v>26</c:v>
                </c:pt>
                <c:pt idx="450">
                  <c:v>23</c:v>
                </c:pt>
                <c:pt idx="451">
                  <c:v>23</c:v>
                </c:pt>
                <c:pt idx="452">
                  <c:v>25</c:v>
                </c:pt>
                <c:pt idx="453">
                  <c:v>72</c:v>
                </c:pt>
                <c:pt idx="454">
                  <c:v>24</c:v>
                </c:pt>
                <c:pt idx="455">
                  <c:v>38</c:v>
                </c:pt>
                <c:pt idx="456">
                  <c:v>62</c:v>
                </c:pt>
                <c:pt idx="457">
                  <c:v>24</c:v>
                </c:pt>
                <c:pt idx="458">
                  <c:v>51</c:v>
                </c:pt>
                <c:pt idx="459">
                  <c:v>81</c:v>
                </c:pt>
                <c:pt idx="460">
                  <c:v>48</c:v>
                </c:pt>
                <c:pt idx="461">
                  <c:v>26</c:v>
                </c:pt>
                <c:pt idx="462">
                  <c:v>39</c:v>
                </c:pt>
                <c:pt idx="463">
                  <c:v>37</c:v>
                </c:pt>
                <c:pt idx="464">
                  <c:v>34</c:v>
                </c:pt>
                <c:pt idx="465">
                  <c:v>21</c:v>
                </c:pt>
                <c:pt idx="466">
                  <c:v>22</c:v>
                </c:pt>
                <c:pt idx="467">
                  <c:v>25</c:v>
                </c:pt>
                <c:pt idx="468">
                  <c:v>38</c:v>
                </c:pt>
                <c:pt idx="469">
                  <c:v>27</c:v>
                </c:pt>
                <c:pt idx="470">
                  <c:v>28</c:v>
                </c:pt>
                <c:pt idx="471">
                  <c:v>22</c:v>
                </c:pt>
                <c:pt idx="472">
                  <c:v>22</c:v>
                </c:pt>
                <c:pt idx="473">
                  <c:v>50</c:v>
                </c:pt>
                <c:pt idx="474">
                  <c:v>24</c:v>
                </c:pt>
                <c:pt idx="475">
                  <c:v>59</c:v>
                </c:pt>
                <c:pt idx="476">
                  <c:v>29</c:v>
                </c:pt>
                <c:pt idx="477">
                  <c:v>31</c:v>
                </c:pt>
                <c:pt idx="478">
                  <c:v>39</c:v>
                </c:pt>
                <c:pt idx="479">
                  <c:v>63</c:v>
                </c:pt>
                <c:pt idx="480">
                  <c:v>35</c:v>
                </c:pt>
                <c:pt idx="481">
                  <c:v>29</c:v>
                </c:pt>
                <c:pt idx="482">
                  <c:v>28</c:v>
                </c:pt>
                <c:pt idx="483">
                  <c:v>23</c:v>
                </c:pt>
                <c:pt idx="484">
                  <c:v>31</c:v>
                </c:pt>
                <c:pt idx="485">
                  <c:v>24</c:v>
                </c:pt>
                <c:pt idx="486">
                  <c:v>21</c:v>
                </c:pt>
                <c:pt idx="487">
                  <c:v>58</c:v>
                </c:pt>
                <c:pt idx="488">
                  <c:v>28</c:v>
                </c:pt>
                <c:pt idx="489">
                  <c:v>67</c:v>
                </c:pt>
                <c:pt idx="490">
                  <c:v>24</c:v>
                </c:pt>
                <c:pt idx="491">
                  <c:v>42</c:v>
                </c:pt>
                <c:pt idx="492">
                  <c:v>33</c:v>
                </c:pt>
                <c:pt idx="493">
                  <c:v>45</c:v>
                </c:pt>
                <c:pt idx="494">
                  <c:v>22</c:v>
                </c:pt>
                <c:pt idx="495">
                  <c:v>66</c:v>
                </c:pt>
                <c:pt idx="496">
                  <c:v>30</c:v>
                </c:pt>
                <c:pt idx="497">
                  <c:v>25</c:v>
                </c:pt>
                <c:pt idx="498">
                  <c:v>55</c:v>
                </c:pt>
                <c:pt idx="499">
                  <c:v>39</c:v>
                </c:pt>
                <c:pt idx="500">
                  <c:v>21</c:v>
                </c:pt>
                <c:pt idx="501">
                  <c:v>28</c:v>
                </c:pt>
                <c:pt idx="502">
                  <c:v>41</c:v>
                </c:pt>
                <c:pt idx="503">
                  <c:v>41</c:v>
                </c:pt>
                <c:pt idx="504">
                  <c:v>40</c:v>
                </c:pt>
                <c:pt idx="505">
                  <c:v>38</c:v>
                </c:pt>
                <c:pt idx="506">
                  <c:v>35</c:v>
                </c:pt>
                <c:pt idx="507">
                  <c:v>21</c:v>
                </c:pt>
                <c:pt idx="508">
                  <c:v>21</c:v>
                </c:pt>
                <c:pt idx="509">
                  <c:v>64</c:v>
                </c:pt>
                <c:pt idx="510">
                  <c:v>46</c:v>
                </c:pt>
                <c:pt idx="511">
                  <c:v>21</c:v>
                </c:pt>
                <c:pt idx="512">
                  <c:v>58</c:v>
                </c:pt>
                <c:pt idx="513">
                  <c:v>22</c:v>
                </c:pt>
                <c:pt idx="514">
                  <c:v>24</c:v>
                </c:pt>
                <c:pt idx="515">
                  <c:v>28</c:v>
                </c:pt>
                <c:pt idx="516">
                  <c:v>53</c:v>
                </c:pt>
                <c:pt idx="517">
                  <c:v>51</c:v>
                </c:pt>
                <c:pt idx="518">
                  <c:v>41</c:v>
                </c:pt>
                <c:pt idx="519">
                  <c:v>60</c:v>
                </c:pt>
                <c:pt idx="520">
                  <c:v>25</c:v>
                </c:pt>
                <c:pt idx="521">
                  <c:v>26</c:v>
                </c:pt>
                <c:pt idx="522">
                  <c:v>26</c:v>
                </c:pt>
                <c:pt idx="523">
                  <c:v>45</c:v>
                </c:pt>
                <c:pt idx="524">
                  <c:v>24</c:v>
                </c:pt>
                <c:pt idx="525">
                  <c:v>21</c:v>
                </c:pt>
                <c:pt idx="526">
                  <c:v>21</c:v>
                </c:pt>
                <c:pt idx="527">
                  <c:v>24</c:v>
                </c:pt>
                <c:pt idx="528">
                  <c:v>22</c:v>
                </c:pt>
                <c:pt idx="529">
                  <c:v>31</c:v>
                </c:pt>
                <c:pt idx="530">
                  <c:v>22</c:v>
                </c:pt>
                <c:pt idx="531">
                  <c:v>24</c:v>
                </c:pt>
                <c:pt idx="532">
                  <c:v>29</c:v>
                </c:pt>
                <c:pt idx="533">
                  <c:v>31</c:v>
                </c:pt>
                <c:pt idx="534">
                  <c:v>24</c:v>
                </c:pt>
                <c:pt idx="535">
                  <c:v>23</c:v>
                </c:pt>
                <c:pt idx="536">
                  <c:v>46</c:v>
                </c:pt>
                <c:pt idx="537">
                  <c:v>67</c:v>
                </c:pt>
                <c:pt idx="538">
                  <c:v>23</c:v>
                </c:pt>
                <c:pt idx="539">
                  <c:v>32</c:v>
                </c:pt>
                <c:pt idx="540">
                  <c:v>43</c:v>
                </c:pt>
                <c:pt idx="541">
                  <c:v>27</c:v>
                </c:pt>
                <c:pt idx="542">
                  <c:v>56</c:v>
                </c:pt>
                <c:pt idx="543">
                  <c:v>25</c:v>
                </c:pt>
                <c:pt idx="544">
                  <c:v>29</c:v>
                </c:pt>
                <c:pt idx="545">
                  <c:v>37</c:v>
                </c:pt>
                <c:pt idx="546">
                  <c:v>53</c:v>
                </c:pt>
                <c:pt idx="547">
                  <c:v>28</c:v>
                </c:pt>
                <c:pt idx="548">
                  <c:v>50</c:v>
                </c:pt>
                <c:pt idx="549">
                  <c:v>37</c:v>
                </c:pt>
                <c:pt idx="550">
                  <c:v>21</c:v>
                </c:pt>
                <c:pt idx="551">
                  <c:v>25</c:v>
                </c:pt>
                <c:pt idx="552">
                  <c:v>66</c:v>
                </c:pt>
                <c:pt idx="553">
                  <c:v>23</c:v>
                </c:pt>
                <c:pt idx="554">
                  <c:v>28</c:v>
                </c:pt>
                <c:pt idx="555">
                  <c:v>37</c:v>
                </c:pt>
                <c:pt idx="556">
                  <c:v>30</c:v>
                </c:pt>
                <c:pt idx="557">
                  <c:v>58</c:v>
                </c:pt>
                <c:pt idx="558">
                  <c:v>42</c:v>
                </c:pt>
                <c:pt idx="559">
                  <c:v>35</c:v>
                </c:pt>
                <c:pt idx="560">
                  <c:v>54</c:v>
                </c:pt>
                <c:pt idx="561">
                  <c:v>28</c:v>
                </c:pt>
                <c:pt idx="562">
                  <c:v>24</c:v>
                </c:pt>
                <c:pt idx="563">
                  <c:v>32</c:v>
                </c:pt>
                <c:pt idx="564">
                  <c:v>27</c:v>
                </c:pt>
                <c:pt idx="565">
                  <c:v>22</c:v>
                </c:pt>
                <c:pt idx="566">
                  <c:v>21</c:v>
                </c:pt>
                <c:pt idx="567">
                  <c:v>46</c:v>
                </c:pt>
                <c:pt idx="568">
                  <c:v>37</c:v>
                </c:pt>
                <c:pt idx="569">
                  <c:v>33</c:v>
                </c:pt>
                <c:pt idx="570">
                  <c:v>39</c:v>
                </c:pt>
                <c:pt idx="571">
                  <c:v>21</c:v>
                </c:pt>
                <c:pt idx="572">
                  <c:v>22</c:v>
                </c:pt>
                <c:pt idx="573">
                  <c:v>22</c:v>
                </c:pt>
                <c:pt idx="574">
                  <c:v>23</c:v>
                </c:pt>
                <c:pt idx="575">
                  <c:v>25</c:v>
                </c:pt>
                <c:pt idx="576">
                  <c:v>35</c:v>
                </c:pt>
                <c:pt idx="577">
                  <c:v>21</c:v>
                </c:pt>
                <c:pt idx="578">
                  <c:v>36</c:v>
                </c:pt>
                <c:pt idx="579">
                  <c:v>62</c:v>
                </c:pt>
                <c:pt idx="580">
                  <c:v>21</c:v>
                </c:pt>
                <c:pt idx="581">
                  <c:v>27</c:v>
                </c:pt>
                <c:pt idx="582">
                  <c:v>62</c:v>
                </c:pt>
                <c:pt idx="583">
                  <c:v>42</c:v>
                </c:pt>
                <c:pt idx="584">
                  <c:v>52</c:v>
                </c:pt>
                <c:pt idx="585">
                  <c:v>22</c:v>
                </c:pt>
                <c:pt idx="586">
                  <c:v>41</c:v>
                </c:pt>
                <c:pt idx="587">
                  <c:v>29</c:v>
                </c:pt>
                <c:pt idx="588">
                  <c:v>52</c:v>
                </c:pt>
                <c:pt idx="589">
                  <c:v>25</c:v>
                </c:pt>
                <c:pt idx="590">
                  <c:v>45</c:v>
                </c:pt>
                <c:pt idx="591">
                  <c:v>24</c:v>
                </c:pt>
                <c:pt idx="592">
                  <c:v>44</c:v>
                </c:pt>
                <c:pt idx="593">
                  <c:v>25</c:v>
                </c:pt>
                <c:pt idx="594">
                  <c:v>34</c:v>
                </c:pt>
                <c:pt idx="595">
                  <c:v>22</c:v>
                </c:pt>
                <c:pt idx="596">
                  <c:v>46</c:v>
                </c:pt>
                <c:pt idx="597">
                  <c:v>21</c:v>
                </c:pt>
                <c:pt idx="598">
                  <c:v>38</c:v>
                </c:pt>
                <c:pt idx="599">
                  <c:v>26</c:v>
                </c:pt>
                <c:pt idx="600">
                  <c:v>24</c:v>
                </c:pt>
                <c:pt idx="601">
                  <c:v>28</c:v>
                </c:pt>
                <c:pt idx="602">
                  <c:v>30</c:v>
                </c:pt>
                <c:pt idx="603">
                  <c:v>54</c:v>
                </c:pt>
                <c:pt idx="604">
                  <c:v>36</c:v>
                </c:pt>
                <c:pt idx="605">
                  <c:v>21</c:v>
                </c:pt>
                <c:pt idx="606">
                  <c:v>22</c:v>
                </c:pt>
                <c:pt idx="607">
                  <c:v>25</c:v>
                </c:pt>
                <c:pt idx="608">
                  <c:v>27</c:v>
                </c:pt>
                <c:pt idx="609">
                  <c:v>23</c:v>
                </c:pt>
                <c:pt idx="610">
                  <c:v>24</c:v>
                </c:pt>
                <c:pt idx="611">
                  <c:v>36</c:v>
                </c:pt>
                <c:pt idx="612">
                  <c:v>40</c:v>
                </c:pt>
                <c:pt idx="613">
                  <c:v>26</c:v>
                </c:pt>
                <c:pt idx="614">
                  <c:v>50</c:v>
                </c:pt>
                <c:pt idx="615">
                  <c:v>27</c:v>
                </c:pt>
                <c:pt idx="616">
                  <c:v>30</c:v>
                </c:pt>
                <c:pt idx="617">
                  <c:v>23</c:v>
                </c:pt>
                <c:pt idx="618">
                  <c:v>50</c:v>
                </c:pt>
                <c:pt idx="619">
                  <c:v>24</c:v>
                </c:pt>
                <c:pt idx="620">
                  <c:v>28</c:v>
                </c:pt>
                <c:pt idx="621">
                  <c:v>28</c:v>
                </c:pt>
                <c:pt idx="622">
                  <c:v>45</c:v>
                </c:pt>
                <c:pt idx="623">
                  <c:v>21</c:v>
                </c:pt>
                <c:pt idx="624">
                  <c:v>21</c:v>
                </c:pt>
                <c:pt idx="625">
                  <c:v>29</c:v>
                </c:pt>
                <c:pt idx="626">
                  <c:v>21</c:v>
                </c:pt>
                <c:pt idx="627">
                  <c:v>21</c:v>
                </c:pt>
                <c:pt idx="628">
                  <c:v>45</c:v>
                </c:pt>
                <c:pt idx="629">
                  <c:v>21</c:v>
                </c:pt>
                <c:pt idx="630">
                  <c:v>34</c:v>
                </c:pt>
                <c:pt idx="631">
                  <c:v>24</c:v>
                </c:pt>
                <c:pt idx="632">
                  <c:v>23</c:v>
                </c:pt>
                <c:pt idx="633">
                  <c:v>22</c:v>
                </c:pt>
                <c:pt idx="634">
                  <c:v>31</c:v>
                </c:pt>
                <c:pt idx="635">
                  <c:v>38</c:v>
                </c:pt>
                <c:pt idx="636">
                  <c:v>48</c:v>
                </c:pt>
                <c:pt idx="637">
                  <c:v>23</c:v>
                </c:pt>
                <c:pt idx="638">
                  <c:v>32</c:v>
                </c:pt>
                <c:pt idx="639">
                  <c:v>28</c:v>
                </c:pt>
                <c:pt idx="640">
                  <c:v>27</c:v>
                </c:pt>
                <c:pt idx="641">
                  <c:v>24</c:v>
                </c:pt>
                <c:pt idx="642">
                  <c:v>50</c:v>
                </c:pt>
                <c:pt idx="643">
                  <c:v>31</c:v>
                </c:pt>
                <c:pt idx="644">
                  <c:v>27</c:v>
                </c:pt>
                <c:pt idx="645">
                  <c:v>30</c:v>
                </c:pt>
                <c:pt idx="646">
                  <c:v>33</c:v>
                </c:pt>
                <c:pt idx="647">
                  <c:v>22</c:v>
                </c:pt>
                <c:pt idx="648">
                  <c:v>42</c:v>
                </c:pt>
                <c:pt idx="649">
                  <c:v>23</c:v>
                </c:pt>
                <c:pt idx="650">
                  <c:v>23</c:v>
                </c:pt>
                <c:pt idx="651">
                  <c:v>27</c:v>
                </c:pt>
                <c:pt idx="652">
                  <c:v>28</c:v>
                </c:pt>
                <c:pt idx="653">
                  <c:v>27</c:v>
                </c:pt>
                <c:pt idx="654">
                  <c:v>22</c:v>
                </c:pt>
                <c:pt idx="655">
                  <c:v>25</c:v>
                </c:pt>
                <c:pt idx="656">
                  <c:v>22</c:v>
                </c:pt>
                <c:pt idx="657">
                  <c:v>41</c:v>
                </c:pt>
                <c:pt idx="658">
                  <c:v>51</c:v>
                </c:pt>
                <c:pt idx="659">
                  <c:v>27</c:v>
                </c:pt>
                <c:pt idx="660">
                  <c:v>54</c:v>
                </c:pt>
                <c:pt idx="661">
                  <c:v>22</c:v>
                </c:pt>
                <c:pt idx="662">
                  <c:v>43</c:v>
                </c:pt>
                <c:pt idx="663">
                  <c:v>40</c:v>
                </c:pt>
                <c:pt idx="664">
                  <c:v>40</c:v>
                </c:pt>
                <c:pt idx="665">
                  <c:v>24</c:v>
                </c:pt>
                <c:pt idx="666">
                  <c:v>70</c:v>
                </c:pt>
                <c:pt idx="667">
                  <c:v>40</c:v>
                </c:pt>
                <c:pt idx="668">
                  <c:v>43</c:v>
                </c:pt>
                <c:pt idx="669">
                  <c:v>45</c:v>
                </c:pt>
                <c:pt idx="670">
                  <c:v>49</c:v>
                </c:pt>
                <c:pt idx="671">
                  <c:v>21</c:v>
                </c:pt>
                <c:pt idx="672">
                  <c:v>47</c:v>
                </c:pt>
                <c:pt idx="673">
                  <c:v>22</c:v>
                </c:pt>
                <c:pt idx="674">
                  <c:v>68</c:v>
                </c:pt>
                <c:pt idx="675">
                  <c:v>31</c:v>
                </c:pt>
                <c:pt idx="676">
                  <c:v>53</c:v>
                </c:pt>
                <c:pt idx="677">
                  <c:v>25</c:v>
                </c:pt>
                <c:pt idx="678">
                  <c:v>25</c:v>
                </c:pt>
                <c:pt idx="679">
                  <c:v>23</c:v>
                </c:pt>
                <c:pt idx="680">
                  <c:v>22</c:v>
                </c:pt>
                <c:pt idx="681">
                  <c:v>26</c:v>
                </c:pt>
                <c:pt idx="682">
                  <c:v>22</c:v>
                </c:pt>
                <c:pt idx="683">
                  <c:v>27</c:v>
                </c:pt>
                <c:pt idx="684">
                  <c:v>69</c:v>
                </c:pt>
                <c:pt idx="685">
                  <c:v>25</c:v>
                </c:pt>
                <c:pt idx="686">
                  <c:v>22</c:v>
                </c:pt>
                <c:pt idx="687">
                  <c:v>29</c:v>
                </c:pt>
                <c:pt idx="688">
                  <c:v>23</c:v>
                </c:pt>
                <c:pt idx="689">
                  <c:v>46</c:v>
                </c:pt>
                <c:pt idx="690">
                  <c:v>34</c:v>
                </c:pt>
                <c:pt idx="691">
                  <c:v>44</c:v>
                </c:pt>
                <c:pt idx="692">
                  <c:v>23</c:v>
                </c:pt>
                <c:pt idx="693">
                  <c:v>43</c:v>
                </c:pt>
                <c:pt idx="694">
                  <c:v>25</c:v>
                </c:pt>
                <c:pt idx="695">
                  <c:v>43</c:v>
                </c:pt>
                <c:pt idx="696">
                  <c:v>31</c:v>
                </c:pt>
                <c:pt idx="697">
                  <c:v>22</c:v>
                </c:pt>
                <c:pt idx="698">
                  <c:v>28</c:v>
                </c:pt>
                <c:pt idx="699">
                  <c:v>26</c:v>
                </c:pt>
                <c:pt idx="700">
                  <c:v>26</c:v>
                </c:pt>
                <c:pt idx="701">
                  <c:v>49</c:v>
                </c:pt>
                <c:pt idx="702">
                  <c:v>52</c:v>
                </c:pt>
                <c:pt idx="703">
                  <c:v>41</c:v>
                </c:pt>
                <c:pt idx="704">
                  <c:v>27</c:v>
                </c:pt>
                <c:pt idx="705">
                  <c:v>28</c:v>
                </c:pt>
                <c:pt idx="706">
                  <c:v>30</c:v>
                </c:pt>
                <c:pt idx="707">
                  <c:v>22</c:v>
                </c:pt>
                <c:pt idx="708">
                  <c:v>45</c:v>
                </c:pt>
                <c:pt idx="709">
                  <c:v>23</c:v>
                </c:pt>
                <c:pt idx="710">
                  <c:v>24</c:v>
                </c:pt>
                <c:pt idx="711">
                  <c:v>40</c:v>
                </c:pt>
                <c:pt idx="712">
                  <c:v>38</c:v>
                </c:pt>
                <c:pt idx="713">
                  <c:v>21</c:v>
                </c:pt>
                <c:pt idx="714">
                  <c:v>32</c:v>
                </c:pt>
                <c:pt idx="715">
                  <c:v>34</c:v>
                </c:pt>
                <c:pt idx="716">
                  <c:v>31</c:v>
                </c:pt>
                <c:pt idx="717">
                  <c:v>56</c:v>
                </c:pt>
                <c:pt idx="718">
                  <c:v>24</c:v>
                </c:pt>
                <c:pt idx="719">
                  <c:v>52</c:v>
                </c:pt>
                <c:pt idx="720">
                  <c:v>34</c:v>
                </c:pt>
                <c:pt idx="721">
                  <c:v>21</c:v>
                </c:pt>
                <c:pt idx="722">
                  <c:v>42</c:v>
                </c:pt>
                <c:pt idx="723">
                  <c:v>42</c:v>
                </c:pt>
                <c:pt idx="724">
                  <c:v>45</c:v>
                </c:pt>
                <c:pt idx="725">
                  <c:v>38</c:v>
                </c:pt>
                <c:pt idx="726">
                  <c:v>25</c:v>
                </c:pt>
                <c:pt idx="727">
                  <c:v>22</c:v>
                </c:pt>
                <c:pt idx="728">
                  <c:v>22</c:v>
                </c:pt>
                <c:pt idx="729">
                  <c:v>22</c:v>
                </c:pt>
                <c:pt idx="730">
                  <c:v>34</c:v>
                </c:pt>
                <c:pt idx="731">
                  <c:v>22</c:v>
                </c:pt>
                <c:pt idx="732">
                  <c:v>24</c:v>
                </c:pt>
                <c:pt idx="733">
                  <c:v>22</c:v>
                </c:pt>
                <c:pt idx="734">
                  <c:v>53</c:v>
                </c:pt>
                <c:pt idx="735">
                  <c:v>28</c:v>
                </c:pt>
                <c:pt idx="736">
                  <c:v>21</c:v>
                </c:pt>
                <c:pt idx="737">
                  <c:v>42</c:v>
                </c:pt>
                <c:pt idx="738">
                  <c:v>21</c:v>
                </c:pt>
                <c:pt idx="739">
                  <c:v>42</c:v>
                </c:pt>
                <c:pt idx="740">
                  <c:v>48</c:v>
                </c:pt>
                <c:pt idx="741">
                  <c:v>26</c:v>
                </c:pt>
                <c:pt idx="742">
                  <c:v>22</c:v>
                </c:pt>
                <c:pt idx="743">
                  <c:v>45</c:v>
                </c:pt>
                <c:pt idx="744">
                  <c:v>39</c:v>
                </c:pt>
                <c:pt idx="745">
                  <c:v>46</c:v>
                </c:pt>
                <c:pt idx="746">
                  <c:v>27</c:v>
                </c:pt>
                <c:pt idx="747">
                  <c:v>32</c:v>
                </c:pt>
                <c:pt idx="748">
                  <c:v>36</c:v>
                </c:pt>
                <c:pt idx="749">
                  <c:v>50</c:v>
                </c:pt>
                <c:pt idx="750">
                  <c:v>22</c:v>
                </c:pt>
                <c:pt idx="751">
                  <c:v>28</c:v>
                </c:pt>
                <c:pt idx="752">
                  <c:v>25</c:v>
                </c:pt>
                <c:pt idx="753">
                  <c:v>26</c:v>
                </c:pt>
                <c:pt idx="754">
                  <c:v>45</c:v>
                </c:pt>
                <c:pt idx="755">
                  <c:v>37</c:v>
                </c:pt>
                <c:pt idx="756">
                  <c:v>39</c:v>
                </c:pt>
                <c:pt idx="757">
                  <c:v>52</c:v>
                </c:pt>
                <c:pt idx="758">
                  <c:v>26</c:v>
                </c:pt>
                <c:pt idx="759">
                  <c:v>66</c:v>
                </c:pt>
                <c:pt idx="760">
                  <c:v>22</c:v>
                </c:pt>
                <c:pt idx="761">
                  <c:v>43</c:v>
                </c:pt>
                <c:pt idx="762">
                  <c:v>33</c:v>
                </c:pt>
                <c:pt idx="763">
                  <c:v>63</c:v>
                </c:pt>
                <c:pt idx="764">
                  <c:v>27</c:v>
                </c:pt>
                <c:pt idx="765">
                  <c:v>30</c:v>
                </c:pt>
                <c:pt idx="766">
                  <c:v>47</c:v>
                </c:pt>
                <c:pt idx="767">
                  <c:v>23</c:v>
                </c:pt>
              </c:numCache>
            </c:numRef>
          </c:xVal>
          <c:yVal>
            <c:numRef>
              <c:f>pima!$A$2:$A$769</c:f>
              <c:numCache>
                <c:formatCode>General</c:formatCode>
                <c:ptCount val="768"/>
                <c:pt idx="0">
                  <c:v>6</c:v>
                </c:pt>
                <c:pt idx="1">
                  <c:v>1</c:v>
                </c:pt>
                <c:pt idx="2">
                  <c:v>8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3</c:v>
                </c:pt>
                <c:pt idx="7">
                  <c:v>10</c:v>
                </c:pt>
                <c:pt idx="8">
                  <c:v>2</c:v>
                </c:pt>
                <c:pt idx="9">
                  <c:v>8</c:v>
                </c:pt>
                <c:pt idx="10">
                  <c:v>4</c:v>
                </c:pt>
                <c:pt idx="11">
                  <c:v>10</c:v>
                </c:pt>
                <c:pt idx="12">
                  <c:v>10</c:v>
                </c:pt>
                <c:pt idx="13">
                  <c:v>1</c:v>
                </c:pt>
                <c:pt idx="14">
                  <c:v>5</c:v>
                </c:pt>
                <c:pt idx="15">
                  <c:v>7</c:v>
                </c:pt>
                <c:pt idx="16">
                  <c:v>0</c:v>
                </c:pt>
                <c:pt idx="17">
                  <c:v>7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8</c:v>
                </c:pt>
                <c:pt idx="22">
                  <c:v>7</c:v>
                </c:pt>
                <c:pt idx="23">
                  <c:v>9</c:v>
                </c:pt>
                <c:pt idx="24">
                  <c:v>11</c:v>
                </c:pt>
                <c:pt idx="25">
                  <c:v>10</c:v>
                </c:pt>
                <c:pt idx="26">
                  <c:v>7</c:v>
                </c:pt>
                <c:pt idx="27">
                  <c:v>1</c:v>
                </c:pt>
                <c:pt idx="28">
                  <c:v>13</c:v>
                </c:pt>
                <c:pt idx="29">
                  <c:v>5</c:v>
                </c:pt>
                <c:pt idx="30">
                  <c:v>5</c:v>
                </c:pt>
                <c:pt idx="31">
                  <c:v>3</c:v>
                </c:pt>
                <c:pt idx="32">
                  <c:v>3</c:v>
                </c:pt>
                <c:pt idx="33">
                  <c:v>6</c:v>
                </c:pt>
                <c:pt idx="34">
                  <c:v>10</c:v>
                </c:pt>
                <c:pt idx="35">
                  <c:v>4</c:v>
                </c:pt>
                <c:pt idx="36">
                  <c:v>11</c:v>
                </c:pt>
                <c:pt idx="37">
                  <c:v>9</c:v>
                </c:pt>
                <c:pt idx="38">
                  <c:v>2</c:v>
                </c:pt>
                <c:pt idx="39">
                  <c:v>4</c:v>
                </c:pt>
                <c:pt idx="40">
                  <c:v>3</c:v>
                </c:pt>
                <c:pt idx="41">
                  <c:v>7</c:v>
                </c:pt>
                <c:pt idx="42">
                  <c:v>7</c:v>
                </c:pt>
                <c:pt idx="43">
                  <c:v>9</c:v>
                </c:pt>
                <c:pt idx="44">
                  <c:v>7</c:v>
                </c:pt>
                <c:pt idx="45">
                  <c:v>0</c:v>
                </c:pt>
                <c:pt idx="46">
                  <c:v>1</c:v>
                </c:pt>
                <c:pt idx="47">
                  <c:v>2</c:v>
                </c:pt>
                <c:pt idx="48">
                  <c:v>7</c:v>
                </c:pt>
                <c:pt idx="49">
                  <c:v>7</c:v>
                </c:pt>
                <c:pt idx="50">
                  <c:v>1</c:v>
                </c:pt>
                <c:pt idx="51">
                  <c:v>1</c:v>
                </c:pt>
                <c:pt idx="52">
                  <c:v>5</c:v>
                </c:pt>
                <c:pt idx="53">
                  <c:v>8</c:v>
                </c:pt>
                <c:pt idx="54">
                  <c:v>7</c:v>
                </c:pt>
                <c:pt idx="55">
                  <c:v>1</c:v>
                </c:pt>
                <c:pt idx="56">
                  <c:v>7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8</c:v>
                </c:pt>
                <c:pt idx="62">
                  <c:v>5</c:v>
                </c:pt>
                <c:pt idx="63">
                  <c:v>2</c:v>
                </c:pt>
                <c:pt idx="64">
                  <c:v>7</c:v>
                </c:pt>
                <c:pt idx="65">
                  <c:v>5</c:v>
                </c:pt>
                <c:pt idx="66">
                  <c:v>0</c:v>
                </c:pt>
                <c:pt idx="67">
                  <c:v>2</c:v>
                </c:pt>
                <c:pt idx="68">
                  <c:v>1</c:v>
                </c:pt>
                <c:pt idx="69">
                  <c:v>4</c:v>
                </c:pt>
                <c:pt idx="70">
                  <c:v>2</c:v>
                </c:pt>
                <c:pt idx="71">
                  <c:v>5</c:v>
                </c:pt>
                <c:pt idx="72">
                  <c:v>13</c:v>
                </c:pt>
                <c:pt idx="73">
                  <c:v>4</c:v>
                </c:pt>
                <c:pt idx="74">
                  <c:v>1</c:v>
                </c:pt>
                <c:pt idx="75">
                  <c:v>1</c:v>
                </c:pt>
                <c:pt idx="76">
                  <c:v>7</c:v>
                </c:pt>
                <c:pt idx="77">
                  <c:v>5</c:v>
                </c:pt>
                <c:pt idx="78">
                  <c:v>0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7</c:v>
                </c:pt>
                <c:pt idx="83">
                  <c:v>0</c:v>
                </c:pt>
                <c:pt idx="84">
                  <c:v>5</c:v>
                </c:pt>
                <c:pt idx="85">
                  <c:v>2</c:v>
                </c:pt>
                <c:pt idx="86">
                  <c:v>13</c:v>
                </c:pt>
                <c:pt idx="87">
                  <c:v>2</c:v>
                </c:pt>
                <c:pt idx="88">
                  <c:v>15</c:v>
                </c:pt>
                <c:pt idx="89">
                  <c:v>1</c:v>
                </c:pt>
                <c:pt idx="90">
                  <c:v>1</c:v>
                </c:pt>
                <c:pt idx="91">
                  <c:v>4</c:v>
                </c:pt>
                <c:pt idx="92">
                  <c:v>7</c:v>
                </c:pt>
                <c:pt idx="93">
                  <c:v>4</c:v>
                </c:pt>
                <c:pt idx="94">
                  <c:v>2</c:v>
                </c:pt>
                <c:pt idx="95">
                  <c:v>6</c:v>
                </c:pt>
                <c:pt idx="96">
                  <c:v>2</c:v>
                </c:pt>
                <c:pt idx="97">
                  <c:v>1</c:v>
                </c:pt>
                <c:pt idx="98">
                  <c:v>6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4</c:v>
                </c:pt>
                <c:pt idx="108">
                  <c:v>3</c:v>
                </c:pt>
                <c:pt idx="109">
                  <c:v>0</c:v>
                </c:pt>
                <c:pt idx="110">
                  <c:v>3</c:v>
                </c:pt>
                <c:pt idx="111">
                  <c:v>8</c:v>
                </c:pt>
                <c:pt idx="112">
                  <c:v>1</c:v>
                </c:pt>
                <c:pt idx="113">
                  <c:v>4</c:v>
                </c:pt>
                <c:pt idx="114">
                  <c:v>7</c:v>
                </c:pt>
                <c:pt idx="115">
                  <c:v>4</c:v>
                </c:pt>
                <c:pt idx="116">
                  <c:v>5</c:v>
                </c:pt>
                <c:pt idx="117">
                  <c:v>5</c:v>
                </c:pt>
                <c:pt idx="118">
                  <c:v>4</c:v>
                </c:pt>
                <c:pt idx="119">
                  <c:v>4</c:v>
                </c:pt>
                <c:pt idx="120">
                  <c:v>0</c:v>
                </c:pt>
                <c:pt idx="121">
                  <c:v>6</c:v>
                </c:pt>
                <c:pt idx="122">
                  <c:v>2</c:v>
                </c:pt>
                <c:pt idx="123">
                  <c:v>5</c:v>
                </c:pt>
                <c:pt idx="124">
                  <c:v>0</c:v>
                </c:pt>
                <c:pt idx="125">
                  <c:v>1</c:v>
                </c:pt>
                <c:pt idx="126">
                  <c:v>3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4</c:v>
                </c:pt>
                <c:pt idx="131">
                  <c:v>9</c:v>
                </c:pt>
                <c:pt idx="132">
                  <c:v>3</c:v>
                </c:pt>
                <c:pt idx="133">
                  <c:v>8</c:v>
                </c:pt>
                <c:pt idx="134">
                  <c:v>2</c:v>
                </c:pt>
                <c:pt idx="135">
                  <c:v>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</c:v>
                </c:pt>
                <c:pt idx="140">
                  <c:v>3</c:v>
                </c:pt>
                <c:pt idx="141">
                  <c:v>5</c:v>
                </c:pt>
                <c:pt idx="142">
                  <c:v>2</c:v>
                </c:pt>
                <c:pt idx="143">
                  <c:v>10</c:v>
                </c:pt>
                <c:pt idx="144">
                  <c:v>4</c:v>
                </c:pt>
                <c:pt idx="145">
                  <c:v>0</c:v>
                </c:pt>
                <c:pt idx="146">
                  <c:v>9</c:v>
                </c:pt>
                <c:pt idx="147">
                  <c:v>2</c:v>
                </c:pt>
                <c:pt idx="148">
                  <c:v>5</c:v>
                </c:pt>
                <c:pt idx="149">
                  <c:v>2</c:v>
                </c:pt>
                <c:pt idx="150">
                  <c:v>1</c:v>
                </c:pt>
                <c:pt idx="151">
                  <c:v>4</c:v>
                </c:pt>
                <c:pt idx="152">
                  <c:v>9</c:v>
                </c:pt>
                <c:pt idx="153">
                  <c:v>1</c:v>
                </c:pt>
                <c:pt idx="154">
                  <c:v>8</c:v>
                </c:pt>
                <c:pt idx="155">
                  <c:v>7</c:v>
                </c:pt>
                <c:pt idx="156">
                  <c:v>2</c:v>
                </c:pt>
                <c:pt idx="157">
                  <c:v>1</c:v>
                </c:pt>
                <c:pt idx="158">
                  <c:v>2</c:v>
                </c:pt>
                <c:pt idx="159">
                  <c:v>17</c:v>
                </c:pt>
                <c:pt idx="160">
                  <c:v>4</c:v>
                </c:pt>
                <c:pt idx="161">
                  <c:v>7</c:v>
                </c:pt>
                <c:pt idx="162">
                  <c:v>0</c:v>
                </c:pt>
                <c:pt idx="163">
                  <c:v>2</c:v>
                </c:pt>
                <c:pt idx="164">
                  <c:v>0</c:v>
                </c:pt>
                <c:pt idx="165">
                  <c:v>6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6</c:v>
                </c:pt>
                <c:pt idx="171">
                  <c:v>6</c:v>
                </c:pt>
                <c:pt idx="172">
                  <c:v>2</c:v>
                </c:pt>
                <c:pt idx="173">
                  <c:v>1</c:v>
                </c:pt>
                <c:pt idx="174">
                  <c:v>2</c:v>
                </c:pt>
                <c:pt idx="175">
                  <c:v>8</c:v>
                </c:pt>
                <c:pt idx="176">
                  <c:v>6</c:v>
                </c:pt>
                <c:pt idx="177">
                  <c:v>0</c:v>
                </c:pt>
                <c:pt idx="178">
                  <c:v>5</c:v>
                </c:pt>
                <c:pt idx="179">
                  <c:v>5</c:v>
                </c:pt>
                <c:pt idx="180">
                  <c:v>6</c:v>
                </c:pt>
                <c:pt idx="181">
                  <c:v>0</c:v>
                </c:pt>
                <c:pt idx="182">
                  <c:v>1</c:v>
                </c:pt>
                <c:pt idx="183">
                  <c:v>5</c:v>
                </c:pt>
                <c:pt idx="184">
                  <c:v>4</c:v>
                </c:pt>
                <c:pt idx="185">
                  <c:v>7</c:v>
                </c:pt>
                <c:pt idx="186">
                  <c:v>8</c:v>
                </c:pt>
                <c:pt idx="187">
                  <c:v>1</c:v>
                </c:pt>
                <c:pt idx="188">
                  <c:v>8</c:v>
                </c:pt>
                <c:pt idx="189">
                  <c:v>5</c:v>
                </c:pt>
                <c:pt idx="190">
                  <c:v>3</c:v>
                </c:pt>
                <c:pt idx="191">
                  <c:v>9</c:v>
                </c:pt>
                <c:pt idx="192">
                  <c:v>7</c:v>
                </c:pt>
                <c:pt idx="193">
                  <c:v>11</c:v>
                </c:pt>
                <c:pt idx="194">
                  <c:v>8</c:v>
                </c:pt>
                <c:pt idx="195">
                  <c:v>5</c:v>
                </c:pt>
                <c:pt idx="196">
                  <c:v>1</c:v>
                </c:pt>
                <c:pt idx="197">
                  <c:v>3</c:v>
                </c:pt>
                <c:pt idx="198">
                  <c:v>4</c:v>
                </c:pt>
                <c:pt idx="199">
                  <c:v>4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2</c:v>
                </c:pt>
                <c:pt idx="204">
                  <c:v>6</c:v>
                </c:pt>
                <c:pt idx="205">
                  <c:v>5</c:v>
                </c:pt>
                <c:pt idx="206">
                  <c:v>8</c:v>
                </c:pt>
                <c:pt idx="207">
                  <c:v>5</c:v>
                </c:pt>
                <c:pt idx="208">
                  <c:v>1</c:v>
                </c:pt>
                <c:pt idx="209">
                  <c:v>7</c:v>
                </c:pt>
                <c:pt idx="210">
                  <c:v>2</c:v>
                </c:pt>
                <c:pt idx="211">
                  <c:v>0</c:v>
                </c:pt>
                <c:pt idx="212">
                  <c:v>7</c:v>
                </c:pt>
                <c:pt idx="213">
                  <c:v>0</c:v>
                </c:pt>
                <c:pt idx="214">
                  <c:v>9</c:v>
                </c:pt>
                <c:pt idx="215">
                  <c:v>12</c:v>
                </c:pt>
                <c:pt idx="216">
                  <c:v>5</c:v>
                </c:pt>
                <c:pt idx="217">
                  <c:v>6</c:v>
                </c:pt>
                <c:pt idx="218">
                  <c:v>5</c:v>
                </c:pt>
                <c:pt idx="219">
                  <c:v>5</c:v>
                </c:pt>
                <c:pt idx="220">
                  <c:v>0</c:v>
                </c:pt>
                <c:pt idx="221">
                  <c:v>2</c:v>
                </c:pt>
                <c:pt idx="222">
                  <c:v>7</c:v>
                </c:pt>
                <c:pt idx="223">
                  <c:v>7</c:v>
                </c:pt>
                <c:pt idx="224">
                  <c:v>1</c:v>
                </c:pt>
                <c:pt idx="225">
                  <c:v>1</c:v>
                </c:pt>
                <c:pt idx="226">
                  <c:v>0</c:v>
                </c:pt>
                <c:pt idx="227">
                  <c:v>3</c:v>
                </c:pt>
                <c:pt idx="228">
                  <c:v>4</c:v>
                </c:pt>
                <c:pt idx="229">
                  <c:v>0</c:v>
                </c:pt>
                <c:pt idx="230">
                  <c:v>4</c:v>
                </c:pt>
                <c:pt idx="231">
                  <c:v>6</c:v>
                </c:pt>
                <c:pt idx="232">
                  <c:v>1</c:v>
                </c:pt>
                <c:pt idx="233">
                  <c:v>4</c:v>
                </c:pt>
                <c:pt idx="234">
                  <c:v>3</c:v>
                </c:pt>
                <c:pt idx="235">
                  <c:v>4</c:v>
                </c:pt>
                <c:pt idx="236">
                  <c:v>7</c:v>
                </c:pt>
                <c:pt idx="237">
                  <c:v>0</c:v>
                </c:pt>
                <c:pt idx="238">
                  <c:v>9</c:v>
                </c:pt>
                <c:pt idx="239">
                  <c:v>0</c:v>
                </c:pt>
                <c:pt idx="240">
                  <c:v>1</c:v>
                </c:pt>
                <c:pt idx="241">
                  <c:v>4</c:v>
                </c:pt>
                <c:pt idx="242">
                  <c:v>3</c:v>
                </c:pt>
                <c:pt idx="243">
                  <c:v>6</c:v>
                </c:pt>
                <c:pt idx="244">
                  <c:v>2</c:v>
                </c:pt>
                <c:pt idx="245">
                  <c:v>9</c:v>
                </c:pt>
                <c:pt idx="246">
                  <c:v>10</c:v>
                </c:pt>
                <c:pt idx="247">
                  <c:v>0</c:v>
                </c:pt>
                <c:pt idx="248">
                  <c:v>9</c:v>
                </c:pt>
                <c:pt idx="249">
                  <c:v>1</c:v>
                </c:pt>
                <c:pt idx="250">
                  <c:v>9</c:v>
                </c:pt>
                <c:pt idx="251">
                  <c:v>2</c:v>
                </c:pt>
                <c:pt idx="252">
                  <c:v>2</c:v>
                </c:pt>
                <c:pt idx="253">
                  <c:v>0</c:v>
                </c:pt>
                <c:pt idx="254">
                  <c:v>12</c:v>
                </c:pt>
                <c:pt idx="255">
                  <c:v>1</c:v>
                </c:pt>
                <c:pt idx="256">
                  <c:v>3</c:v>
                </c:pt>
                <c:pt idx="257">
                  <c:v>2</c:v>
                </c:pt>
                <c:pt idx="258">
                  <c:v>1</c:v>
                </c:pt>
                <c:pt idx="259">
                  <c:v>11</c:v>
                </c:pt>
                <c:pt idx="260">
                  <c:v>3</c:v>
                </c:pt>
                <c:pt idx="261">
                  <c:v>3</c:v>
                </c:pt>
                <c:pt idx="262">
                  <c:v>4</c:v>
                </c:pt>
                <c:pt idx="263">
                  <c:v>3</c:v>
                </c:pt>
                <c:pt idx="264">
                  <c:v>4</c:v>
                </c:pt>
                <c:pt idx="265">
                  <c:v>5</c:v>
                </c:pt>
                <c:pt idx="266">
                  <c:v>0</c:v>
                </c:pt>
                <c:pt idx="267">
                  <c:v>2</c:v>
                </c:pt>
                <c:pt idx="268">
                  <c:v>0</c:v>
                </c:pt>
                <c:pt idx="269">
                  <c:v>2</c:v>
                </c:pt>
                <c:pt idx="270">
                  <c:v>10</c:v>
                </c:pt>
                <c:pt idx="271">
                  <c:v>2</c:v>
                </c:pt>
                <c:pt idx="272">
                  <c:v>3</c:v>
                </c:pt>
                <c:pt idx="273">
                  <c:v>1</c:v>
                </c:pt>
                <c:pt idx="274">
                  <c:v>13</c:v>
                </c:pt>
                <c:pt idx="275">
                  <c:v>2</c:v>
                </c:pt>
                <c:pt idx="276">
                  <c:v>7</c:v>
                </c:pt>
                <c:pt idx="277">
                  <c:v>0</c:v>
                </c:pt>
                <c:pt idx="278">
                  <c:v>5</c:v>
                </c:pt>
                <c:pt idx="279">
                  <c:v>2</c:v>
                </c:pt>
                <c:pt idx="280">
                  <c:v>0</c:v>
                </c:pt>
                <c:pt idx="281">
                  <c:v>10</c:v>
                </c:pt>
                <c:pt idx="282">
                  <c:v>7</c:v>
                </c:pt>
                <c:pt idx="283">
                  <c:v>7</c:v>
                </c:pt>
                <c:pt idx="284">
                  <c:v>2</c:v>
                </c:pt>
                <c:pt idx="285">
                  <c:v>7</c:v>
                </c:pt>
                <c:pt idx="286">
                  <c:v>5</c:v>
                </c:pt>
                <c:pt idx="287">
                  <c:v>1</c:v>
                </c:pt>
                <c:pt idx="288">
                  <c:v>4</c:v>
                </c:pt>
                <c:pt idx="289">
                  <c:v>5</c:v>
                </c:pt>
                <c:pt idx="290">
                  <c:v>0</c:v>
                </c:pt>
                <c:pt idx="291">
                  <c:v>0</c:v>
                </c:pt>
                <c:pt idx="292">
                  <c:v>2</c:v>
                </c:pt>
                <c:pt idx="293">
                  <c:v>1</c:v>
                </c:pt>
                <c:pt idx="294">
                  <c:v>0</c:v>
                </c:pt>
                <c:pt idx="295">
                  <c:v>6</c:v>
                </c:pt>
                <c:pt idx="296">
                  <c:v>2</c:v>
                </c:pt>
                <c:pt idx="297">
                  <c:v>0</c:v>
                </c:pt>
                <c:pt idx="298">
                  <c:v>14</c:v>
                </c:pt>
                <c:pt idx="299">
                  <c:v>8</c:v>
                </c:pt>
                <c:pt idx="300">
                  <c:v>0</c:v>
                </c:pt>
                <c:pt idx="301">
                  <c:v>2</c:v>
                </c:pt>
                <c:pt idx="302">
                  <c:v>5</c:v>
                </c:pt>
                <c:pt idx="303">
                  <c:v>5</c:v>
                </c:pt>
                <c:pt idx="304">
                  <c:v>3</c:v>
                </c:pt>
                <c:pt idx="305">
                  <c:v>2</c:v>
                </c:pt>
                <c:pt idx="306">
                  <c:v>10</c:v>
                </c:pt>
                <c:pt idx="307">
                  <c:v>0</c:v>
                </c:pt>
                <c:pt idx="308">
                  <c:v>0</c:v>
                </c:pt>
                <c:pt idx="309">
                  <c:v>2</c:v>
                </c:pt>
                <c:pt idx="310">
                  <c:v>6</c:v>
                </c:pt>
                <c:pt idx="311">
                  <c:v>0</c:v>
                </c:pt>
                <c:pt idx="312">
                  <c:v>2</c:v>
                </c:pt>
                <c:pt idx="313">
                  <c:v>3</c:v>
                </c:pt>
                <c:pt idx="314">
                  <c:v>7</c:v>
                </c:pt>
                <c:pt idx="315">
                  <c:v>2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6</c:v>
                </c:pt>
                <c:pt idx="320">
                  <c:v>4</c:v>
                </c:pt>
                <c:pt idx="321">
                  <c:v>3</c:v>
                </c:pt>
                <c:pt idx="322">
                  <c:v>0</c:v>
                </c:pt>
                <c:pt idx="323">
                  <c:v>13</c:v>
                </c:pt>
                <c:pt idx="324">
                  <c:v>2</c:v>
                </c:pt>
                <c:pt idx="325">
                  <c:v>1</c:v>
                </c:pt>
                <c:pt idx="326">
                  <c:v>1</c:v>
                </c:pt>
                <c:pt idx="327">
                  <c:v>10</c:v>
                </c:pt>
                <c:pt idx="328">
                  <c:v>2</c:v>
                </c:pt>
                <c:pt idx="329">
                  <c:v>6</c:v>
                </c:pt>
                <c:pt idx="330">
                  <c:v>8</c:v>
                </c:pt>
                <c:pt idx="331">
                  <c:v>2</c:v>
                </c:pt>
                <c:pt idx="332">
                  <c:v>1</c:v>
                </c:pt>
                <c:pt idx="333">
                  <c:v>12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5</c:v>
                </c:pt>
                <c:pt idx="338">
                  <c:v>9</c:v>
                </c:pt>
                <c:pt idx="339">
                  <c:v>7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5</c:v>
                </c:pt>
                <c:pt idx="344">
                  <c:v>8</c:v>
                </c:pt>
                <c:pt idx="345">
                  <c:v>8</c:v>
                </c:pt>
                <c:pt idx="346">
                  <c:v>1</c:v>
                </c:pt>
                <c:pt idx="347">
                  <c:v>3</c:v>
                </c:pt>
                <c:pt idx="348">
                  <c:v>3</c:v>
                </c:pt>
                <c:pt idx="349">
                  <c:v>5</c:v>
                </c:pt>
                <c:pt idx="350">
                  <c:v>4</c:v>
                </c:pt>
                <c:pt idx="351">
                  <c:v>4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9</c:v>
                </c:pt>
                <c:pt idx="356">
                  <c:v>1</c:v>
                </c:pt>
                <c:pt idx="357">
                  <c:v>13</c:v>
                </c:pt>
                <c:pt idx="358">
                  <c:v>12</c:v>
                </c:pt>
                <c:pt idx="359">
                  <c:v>1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4</c:v>
                </c:pt>
                <c:pt idx="364">
                  <c:v>4</c:v>
                </c:pt>
                <c:pt idx="365">
                  <c:v>5</c:v>
                </c:pt>
                <c:pt idx="366">
                  <c:v>6</c:v>
                </c:pt>
                <c:pt idx="367">
                  <c:v>0</c:v>
                </c:pt>
                <c:pt idx="368">
                  <c:v>3</c:v>
                </c:pt>
                <c:pt idx="369">
                  <c:v>1</c:v>
                </c:pt>
                <c:pt idx="370">
                  <c:v>3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2</c:v>
                </c:pt>
                <c:pt idx="375">
                  <c:v>12</c:v>
                </c:pt>
                <c:pt idx="376">
                  <c:v>0</c:v>
                </c:pt>
                <c:pt idx="377">
                  <c:v>1</c:v>
                </c:pt>
                <c:pt idx="378">
                  <c:v>4</c:v>
                </c:pt>
                <c:pt idx="379">
                  <c:v>0</c:v>
                </c:pt>
                <c:pt idx="380">
                  <c:v>1</c:v>
                </c:pt>
                <c:pt idx="381">
                  <c:v>0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5</c:v>
                </c:pt>
                <c:pt idx="387">
                  <c:v>8</c:v>
                </c:pt>
                <c:pt idx="388">
                  <c:v>5</c:v>
                </c:pt>
                <c:pt idx="389">
                  <c:v>3</c:v>
                </c:pt>
                <c:pt idx="390">
                  <c:v>1</c:v>
                </c:pt>
                <c:pt idx="391">
                  <c:v>5</c:v>
                </c:pt>
                <c:pt idx="392">
                  <c:v>1</c:v>
                </c:pt>
                <c:pt idx="393">
                  <c:v>4</c:v>
                </c:pt>
                <c:pt idx="394">
                  <c:v>4</c:v>
                </c:pt>
                <c:pt idx="395">
                  <c:v>2</c:v>
                </c:pt>
                <c:pt idx="396">
                  <c:v>3</c:v>
                </c:pt>
                <c:pt idx="397">
                  <c:v>0</c:v>
                </c:pt>
                <c:pt idx="398">
                  <c:v>3</c:v>
                </c:pt>
                <c:pt idx="399">
                  <c:v>3</c:v>
                </c:pt>
                <c:pt idx="400">
                  <c:v>4</c:v>
                </c:pt>
                <c:pt idx="401">
                  <c:v>6</c:v>
                </c:pt>
                <c:pt idx="402">
                  <c:v>5</c:v>
                </c:pt>
                <c:pt idx="403">
                  <c:v>9</c:v>
                </c:pt>
                <c:pt idx="404">
                  <c:v>5</c:v>
                </c:pt>
                <c:pt idx="405">
                  <c:v>2</c:v>
                </c:pt>
                <c:pt idx="406">
                  <c:v>4</c:v>
                </c:pt>
                <c:pt idx="407">
                  <c:v>0</c:v>
                </c:pt>
                <c:pt idx="408">
                  <c:v>8</c:v>
                </c:pt>
                <c:pt idx="409">
                  <c:v>1</c:v>
                </c:pt>
                <c:pt idx="410">
                  <c:v>6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0</c:v>
                </c:pt>
                <c:pt idx="415">
                  <c:v>3</c:v>
                </c:pt>
                <c:pt idx="416">
                  <c:v>1</c:v>
                </c:pt>
                <c:pt idx="417">
                  <c:v>4</c:v>
                </c:pt>
                <c:pt idx="418">
                  <c:v>1</c:v>
                </c:pt>
                <c:pt idx="419">
                  <c:v>3</c:v>
                </c:pt>
                <c:pt idx="420">
                  <c:v>1</c:v>
                </c:pt>
                <c:pt idx="421">
                  <c:v>2</c:v>
                </c:pt>
                <c:pt idx="422">
                  <c:v>0</c:v>
                </c:pt>
                <c:pt idx="423">
                  <c:v>2</c:v>
                </c:pt>
                <c:pt idx="424">
                  <c:v>8</c:v>
                </c:pt>
                <c:pt idx="425">
                  <c:v>4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1</c:v>
                </c:pt>
                <c:pt idx="430">
                  <c:v>2</c:v>
                </c:pt>
                <c:pt idx="431">
                  <c:v>3</c:v>
                </c:pt>
                <c:pt idx="432">
                  <c:v>1</c:v>
                </c:pt>
                <c:pt idx="433">
                  <c:v>2</c:v>
                </c:pt>
                <c:pt idx="434">
                  <c:v>1</c:v>
                </c:pt>
                <c:pt idx="435">
                  <c:v>0</c:v>
                </c:pt>
                <c:pt idx="436">
                  <c:v>12</c:v>
                </c:pt>
                <c:pt idx="437">
                  <c:v>5</c:v>
                </c:pt>
                <c:pt idx="438">
                  <c:v>1</c:v>
                </c:pt>
                <c:pt idx="439">
                  <c:v>6</c:v>
                </c:pt>
                <c:pt idx="440">
                  <c:v>0</c:v>
                </c:pt>
                <c:pt idx="441">
                  <c:v>2</c:v>
                </c:pt>
                <c:pt idx="442">
                  <c:v>4</c:v>
                </c:pt>
                <c:pt idx="443">
                  <c:v>8</c:v>
                </c:pt>
                <c:pt idx="444">
                  <c:v>4</c:v>
                </c:pt>
                <c:pt idx="445">
                  <c:v>0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1</c:v>
                </c:pt>
                <c:pt idx="451">
                  <c:v>2</c:v>
                </c:pt>
                <c:pt idx="452">
                  <c:v>0</c:v>
                </c:pt>
                <c:pt idx="453">
                  <c:v>2</c:v>
                </c:pt>
                <c:pt idx="454">
                  <c:v>2</c:v>
                </c:pt>
                <c:pt idx="455">
                  <c:v>14</c:v>
                </c:pt>
                <c:pt idx="456">
                  <c:v>1</c:v>
                </c:pt>
                <c:pt idx="457">
                  <c:v>5</c:v>
                </c:pt>
                <c:pt idx="458">
                  <c:v>10</c:v>
                </c:pt>
                <c:pt idx="459">
                  <c:v>9</c:v>
                </c:pt>
                <c:pt idx="460">
                  <c:v>9</c:v>
                </c:pt>
                <c:pt idx="461">
                  <c:v>1</c:v>
                </c:pt>
                <c:pt idx="462">
                  <c:v>8</c:v>
                </c:pt>
                <c:pt idx="463">
                  <c:v>5</c:v>
                </c:pt>
                <c:pt idx="464">
                  <c:v>10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8</c:v>
                </c:pt>
                <c:pt idx="469">
                  <c:v>6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7</c:v>
                </c:pt>
                <c:pt idx="474">
                  <c:v>4</c:v>
                </c:pt>
                <c:pt idx="475">
                  <c:v>0</c:v>
                </c:pt>
                <c:pt idx="476">
                  <c:v>2</c:v>
                </c:pt>
                <c:pt idx="477">
                  <c:v>7</c:v>
                </c:pt>
                <c:pt idx="478">
                  <c:v>8</c:v>
                </c:pt>
                <c:pt idx="479">
                  <c:v>4</c:v>
                </c:pt>
                <c:pt idx="480">
                  <c:v>3</c:v>
                </c:pt>
                <c:pt idx="481">
                  <c:v>0</c:v>
                </c:pt>
                <c:pt idx="482">
                  <c:v>4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4</c:v>
                </c:pt>
                <c:pt idx="489">
                  <c:v>8</c:v>
                </c:pt>
                <c:pt idx="490">
                  <c:v>2</c:v>
                </c:pt>
                <c:pt idx="491">
                  <c:v>2</c:v>
                </c:pt>
                <c:pt idx="492">
                  <c:v>4</c:v>
                </c:pt>
                <c:pt idx="493">
                  <c:v>4</c:v>
                </c:pt>
                <c:pt idx="494">
                  <c:v>3</c:v>
                </c:pt>
                <c:pt idx="495">
                  <c:v>6</c:v>
                </c:pt>
                <c:pt idx="496">
                  <c:v>5</c:v>
                </c:pt>
                <c:pt idx="497">
                  <c:v>2</c:v>
                </c:pt>
                <c:pt idx="498">
                  <c:v>7</c:v>
                </c:pt>
                <c:pt idx="499">
                  <c:v>6</c:v>
                </c:pt>
                <c:pt idx="500">
                  <c:v>2</c:v>
                </c:pt>
                <c:pt idx="501">
                  <c:v>3</c:v>
                </c:pt>
                <c:pt idx="502">
                  <c:v>6</c:v>
                </c:pt>
                <c:pt idx="503">
                  <c:v>7</c:v>
                </c:pt>
                <c:pt idx="504">
                  <c:v>3</c:v>
                </c:pt>
                <c:pt idx="505">
                  <c:v>10</c:v>
                </c:pt>
                <c:pt idx="506">
                  <c:v>0</c:v>
                </c:pt>
                <c:pt idx="507">
                  <c:v>1</c:v>
                </c:pt>
                <c:pt idx="508">
                  <c:v>2</c:v>
                </c:pt>
                <c:pt idx="509">
                  <c:v>8</c:v>
                </c:pt>
                <c:pt idx="510">
                  <c:v>12</c:v>
                </c:pt>
                <c:pt idx="511">
                  <c:v>0</c:v>
                </c:pt>
                <c:pt idx="512">
                  <c:v>9</c:v>
                </c:pt>
                <c:pt idx="513">
                  <c:v>2</c:v>
                </c:pt>
                <c:pt idx="514">
                  <c:v>3</c:v>
                </c:pt>
                <c:pt idx="515">
                  <c:v>3</c:v>
                </c:pt>
                <c:pt idx="516">
                  <c:v>9</c:v>
                </c:pt>
                <c:pt idx="517">
                  <c:v>7</c:v>
                </c:pt>
                <c:pt idx="518">
                  <c:v>13</c:v>
                </c:pt>
                <c:pt idx="519">
                  <c:v>6</c:v>
                </c:pt>
                <c:pt idx="520">
                  <c:v>2</c:v>
                </c:pt>
                <c:pt idx="521">
                  <c:v>3</c:v>
                </c:pt>
                <c:pt idx="522">
                  <c:v>6</c:v>
                </c:pt>
                <c:pt idx="523">
                  <c:v>9</c:v>
                </c:pt>
                <c:pt idx="524">
                  <c:v>3</c:v>
                </c:pt>
                <c:pt idx="525">
                  <c:v>3</c:v>
                </c:pt>
                <c:pt idx="526">
                  <c:v>1</c:v>
                </c:pt>
                <c:pt idx="527">
                  <c:v>3</c:v>
                </c:pt>
                <c:pt idx="528">
                  <c:v>0</c:v>
                </c:pt>
                <c:pt idx="529">
                  <c:v>0</c:v>
                </c:pt>
                <c:pt idx="530">
                  <c:v>2</c:v>
                </c:pt>
                <c:pt idx="531">
                  <c:v>0</c:v>
                </c:pt>
                <c:pt idx="532">
                  <c:v>1</c:v>
                </c:pt>
                <c:pt idx="533">
                  <c:v>6</c:v>
                </c:pt>
                <c:pt idx="534">
                  <c:v>1</c:v>
                </c:pt>
                <c:pt idx="535">
                  <c:v>4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3</c:v>
                </c:pt>
                <c:pt idx="540">
                  <c:v>8</c:v>
                </c:pt>
                <c:pt idx="541">
                  <c:v>3</c:v>
                </c:pt>
                <c:pt idx="542">
                  <c:v>10</c:v>
                </c:pt>
                <c:pt idx="543">
                  <c:v>4</c:v>
                </c:pt>
                <c:pt idx="544">
                  <c:v>1</c:v>
                </c:pt>
                <c:pt idx="545">
                  <c:v>8</c:v>
                </c:pt>
                <c:pt idx="546">
                  <c:v>5</c:v>
                </c:pt>
                <c:pt idx="547">
                  <c:v>4</c:v>
                </c:pt>
                <c:pt idx="548">
                  <c:v>1</c:v>
                </c:pt>
                <c:pt idx="549">
                  <c:v>4</c:v>
                </c:pt>
                <c:pt idx="550">
                  <c:v>1</c:v>
                </c:pt>
                <c:pt idx="551">
                  <c:v>3</c:v>
                </c:pt>
                <c:pt idx="552">
                  <c:v>6</c:v>
                </c:pt>
                <c:pt idx="553">
                  <c:v>1</c:v>
                </c:pt>
                <c:pt idx="554">
                  <c:v>1</c:v>
                </c:pt>
                <c:pt idx="555">
                  <c:v>7</c:v>
                </c:pt>
                <c:pt idx="556">
                  <c:v>1</c:v>
                </c:pt>
                <c:pt idx="557">
                  <c:v>8</c:v>
                </c:pt>
                <c:pt idx="558">
                  <c:v>11</c:v>
                </c:pt>
                <c:pt idx="559">
                  <c:v>11</c:v>
                </c:pt>
                <c:pt idx="560">
                  <c:v>6</c:v>
                </c:pt>
                <c:pt idx="561">
                  <c:v>0</c:v>
                </c:pt>
                <c:pt idx="562">
                  <c:v>1</c:v>
                </c:pt>
                <c:pt idx="563">
                  <c:v>6</c:v>
                </c:pt>
                <c:pt idx="564">
                  <c:v>0</c:v>
                </c:pt>
                <c:pt idx="565">
                  <c:v>2</c:v>
                </c:pt>
                <c:pt idx="566">
                  <c:v>1</c:v>
                </c:pt>
                <c:pt idx="567">
                  <c:v>6</c:v>
                </c:pt>
                <c:pt idx="568">
                  <c:v>4</c:v>
                </c:pt>
                <c:pt idx="569">
                  <c:v>0</c:v>
                </c:pt>
                <c:pt idx="570">
                  <c:v>3</c:v>
                </c:pt>
                <c:pt idx="571">
                  <c:v>2</c:v>
                </c:pt>
                <c:pt idx="572">
                  <c:v>3</c:v>
                </c:pt>
                <c:pt idx="573">
                  <c:v>2</c:v>
                </c:pt>
                <c:pt idx="574">
                  <c:v>1</c:v>
                </c:pt>
                <c:pt idx="575">
                  <c:v>1</c:v>
                </c:pt>
                <c:pt idx="576">
                  <c:v>6</c:v>
                </c:pt>
                <c:pt idx="577">
                  <c:v>2</c:v>
                </c:pt>
                <c:pt idx="578">
                  <c:v>10</c:v>
                </c:pt>
                <c:pt idx="579">
                  <c:v>2</c:v>
                </c:pt>
                <c:pt idx="580">
                  <c:v>0</c:v>
                </c:pt>
                <c:pt idx="581">
                  <c:v>6</c:v>
                </c:pt>
                <c:pt idx="582">
                  <c:v>12</c:v>
                </c:pt>
                <c:pt idx="583">
                  <c:v>8</c:v>
                </c:pt>
                <c:pt idx="584">
                  <c:v>8</c:v>
                </c:pt>
                <c:pt idx="585">
                  <c:v>1</c:v>
                </c:pt>
                <c:pt idx="586">
                  <c:v>8</c:v>
                </c:pt>
                <c:pt idx="587">
                  <c:v>6</c:v>
                </c:pt>
                <c:pt idx="588">
                  <c:v>3</c:v>
                </c:pt>
                <c:pt idx="589">
                  <c:v>0</c:v>
                </c:pt>
                <c:pt idx="590">
                  <c:v>11</c:v>
                </c:pt>
                <c:pt idx="591">
                  <c:v>2</c:v>
                </c:pt>
                <c:pt idx="592">
                  <c:v>3</c:v>
                </c:pt>
                <c:pt idx="593">
                  <c:v>2</c:v>
                </c:pt>
                <c:pt idx="594">
                  <c:v>6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6</c:v>
                </c:pt>
                <c:pt idx="602">
                  <c:v>1</c:v>
                </c:pt>
                <c:pt idx="603">
                  <c:v>7</c:v>
                </c:pt>
                <c:pt idx="604">
                  <c:v>4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0</c:v>
                </c:pt>
                <c:pt idx="609">
                  <c:v>1</c:v>
                </c:pt>
                <c:pt idx="610">
                  <c:v>3</c:v>
                </c:pt>
                <c:pt idx="611">
                  <c:v>3</c:v>
                </c:pt>
                <c:pt idx="612">
                  <c:v>7</c:v>
                </c:pt>
                <c:pt idx="613">
                  <c:v>6</c:v>
                </c:pt>
                <c:pt idx="614">
                  <c:v>11</c:v>
                </c:pt>
                <c:pt idx="615">
                  <c:v>3</c:v>
                </c:pt>
                <c:pt idx="616">
                  <c:v>6</c:v>
                </c:pt>
                <c:pt idx="617">
                  <c:v>2</c:v>
                </c:pt>
                <c:pt idx="618">
                  <c:v>9</c:v>
                </c:pt>
                <c:pt idx="619">
                  <c:v>0</c:v>
                </c:pt>
                <c:pt idx="620">
                  <c:v>2</c:v>
                </c:pt>
                <c:pt idx="621">
                  <c:v>2</c:v>
                </c:pt>
                <c:pt idx="622">
                  <c:v>6</c:v>
                </c:pt>
                <c:pt idx="623">
                  <c:v>0</c:v>
                </c:pt>
                <c:pt idx="624">
                  <c:v>2</c:v>
                </c:pt>
                <c:pt idx="625">
                  <c:v>4</c:v>
                </c:pt>
                <c:pt idx="626">
                  <c:v>0</c:v>
                </c:pt>
                <c:pt idx="627">
                  <c:v>0</c:v>
                </c:pt>
                <c:pt idx="628">
                  <c:v>5</c:v>
                </c:pt>
                <c:pt idx="629">
                  <c:v>4</c:v>
                </c:pt>
                <c:pt idx="630">
                  <c:v>7</c:v>
                </c:pt>
                <c:pt idx="631">
                  <c:v>0</c:v>
                </c:pt>
                <c:pt idx="632">
                  <c:v>2</c:v>
                </c:pt>
                <c:pt idx="633">
                  <c:v>1</c:v>
                </c:pt>
                <c:pt idx="634">
                  <c:v>10</c:v>
                </c:pt>
                <c:pt idx="635">
                  <c:v>13</c:v>
                </c:pt>
                <c:pt idx="636">
                  <c:v>5</c:v>
                </c:pt>
                <c:pt idx="637">
                  <c:v>2</c:v>
                </c:pt>
                <c:pt idx="638">
                  <c:v>7</c:v>
                </c:pt>
                <c:pt idx="639">
                  <c:v>1</c:v>
                </c:pt>
                <c:pt idx="640">
                  <c:v>0</c:v>
                </c:pt>
                <c:pt idx="641">
                  <c:v>4</c:v>
                </c:pt>
                <c:pt idx="642">
                  <c:v>6</c:v>
                </c:pt>
                <c:pt idx="643">
                  <c:v>4</c:v>
                </c:pt>
                <c:pt idx="644">
                  <c:v>3</c:v>
                </c:pt>
                <c:pt idx="645">
                  <c:v>2</c:v>
                </c:pt>
                <c:pt idx="646">
                  <c:v>1</c:v>
                </c:pt>
                <c:pt idx="647">
                  <c:v>0</c:v>
                </c:pt>
                <c:pt idx="648">
                  <c:v>11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5</c:v>
                </c:pt>
                <c:pt idx="653">
                  <c:v>2</c:v>
                </c:pt>
                <c:pt idx="654">
                  <c:v>1</c:v>
                </c:pt>
                <c:pt idx="655">
                  <c:v>2</c:v>
                </c:pt>
                <c:pt idx="656">
                  <c:v>2</c:v>
                </c:pt>
                <c:pt idx="657">
                  <c:v>1</c:v>
                </c:pt>
                <c:pt idx="658">
                  <c:v>11</c:v>
                </c:pt>
                <c:pt idx="659">
                  <c:v>3</c:v>
                </c:pt>
                <c:pt idx="660">
                  <c:v>10</c:v>
                </c:pt>
                <c:pt idx="661">
                  <c:v>1</c:v>
                </c:pt>
                <c:pt idx="662">
                  <c:v>8</c:v>
                </c:pt>
                <c:pt idx="663">
                  <c:v>9</c:v>
                </c:pt>
                <c:pt idx="664">
                  <c:v>6</c:v>
                </c:pt>
                <c:pt idx="665">
                  <c:v>1</c:v>
                </c:pt>
                <c:pt idx="666">
                  <c:v>4</c:v>
                </c:pt>
                <c:pt idx="667">
                  <c:v>10</c:v>
                </c:pt>
                <c:pt idx="668">
                  <c:v>6</c:v>
                </c:pt>
                <c:pt idx="669">
                  <c:v>9</c:v>
                </c:pt>
                <c:pt idx="670">
                  <c:v>6</c:v>
                </c:pt>
                <c:pt idx="671">
                  <c:v>1</c:v>
                </c:pt>
                <c:pt idx="672">
                  <c:v>10</c:v>
                </c:pt>
                <c:pt idx="673">
                  <c:v>3</c:v>
                </c:pt>
                <c:pt idx="674">
                  <c:v>8</c:v>
                </c:pt>
                <c:pt idx="675">
                  <c:v>6</c:v>
                </c:pt>
                <c:pt idx="676">
                  <c:v>9</c:v>
                </c:pt>
                <c:pt idx="677">
                  <c:v>0</c:v>
                </c:pt>
                <c:pt idx="678">
                  <c:v>3</c:v>
                </c:pt>
                <c:pt idx="679">
                  <c:v>2</c:v>
                </c:pt>
                <c:pt idx="680">
                  <c:v>2</c:v>
                </c:pt>
                <c:pt idx="681">
                  <c:v>0</c:v>
                </c:pt>
                <c:pt idx="682">
                  <c:v>0</c:v>
                </c:pt>
                <c:pt idx="683">
                  <c:v>4</c:v>
                </c:pt>
                <c:pt idx="684">
                  <c:v>5</c:v>
                </c:pt>
                <c:pt idx="685">
                  <c:v>2</c:v>
                </c:pt>
                <c:pt idx="686">
                  <c:v>3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8</c:v>
                </c:pt>
                <c:pt idx="691">
                  <c:v>13</c:v>
                </c:pt>
                <c:pt idx="692">
                  <c:v>2</c:v>
                </c:pt>
                <c:pt idx="693">
                  <c:v>7</c:v>
                </c:pt>
                <c:pt idx="694">
                  <c:v>2</c:v>
                </c:pt>
                <c:pt idx="695">
                  <c:v>7</c:v>
                </c:pt>
                <c:pt idx="696">
                  <c:v>3</c:v>
                </c:pt>
                <c:pt idx="697">
                  <c:v>0</c:v>
                </c:pt>
                <c:pt idx="698">
                  <c:v>4</c:v>
                </c:pt>
                <c:pt idx="699">
                  <c:v>4</c:v>
                </c:pt>
                <c:pt idx="700">
                  <c:v>2</c:v>
                </c:pt>
                <c:pt idx="701">
                  <c:v>6</c:v>
                </c:pt>
                <c:pt idx="702">
                  <c:v>1</c:v>
                </c:pt>
                <c:pt idx="703">
                  <c:v>2</c:v>
                </c:pt>
                <c:pt idx="704">
                  <c:v>4</c:v>
                </c:pt>
                <c:pt idx="705">
                  <c:v>6</c:v>
                </c:pt>
                <c:pt idx="706">
                  <c:v>10</c:v>
                </c:pt>
                <c:pt idx="707">
                  <c:v>2</c:v>
                </c:pt>
                <c:pt idx="708">
                  <c:v>9</c:v>
                </c:pt>
                <c:pt idx="709">
                  <c:v>2</c:v>
                </c:pt>
                <c:pt idx="710">
                  <c:v>3</c:v>
                </c:pt>
                <c:pt idx="711">
                  <c:v>5</c:v>
                </c:pt>
                <c:pt idx="712">
                  <c:v>10</c:v>
                </c:pt>
                <c:pt idx="713">
                  <c:v>0</c:v>
                </c:pt>
                <c:pt idx="714">
                  <c:v>3</c:v>
                </c:pt>
                <c:pt idx="715">
                  <c:v>7</c:v>
                </c:pt>
                <c:pt idx="716">
                  <c:v>3</c:v>
                </c:pt>
                <c:pt idx="717">
                  <c:v>10</c:v>
                </c:pt>
                <c:pt idx="718">
                  <c:v>1</c:v>
                </c:pt>
                <c:pt idx="719">
                  <c:v>5</c:v>
                </c:pt>
                <c:pt idx="720">
                  <c:v>4</c:v>
                </c:pt>
                <c:pt idx="721">
                  <c:v>1</c:v>
                </c:pt>
                <c:pt idx="722">
                  <c:v>1</c:v>
                </c:pt>
                <c:pt idx="723">
                  <c:v>5</c:v>
                </c:pt>
                <c:pt idx="724">
                  <c:v>1</c:v>
                </c:pt>
                <c:pt idx="725">
                  <c:v>4</c:v>
                </c:pt>
                <c:pt idx="726">
                  <c:v>1</c:v>
                </c:pt>
                <c:pt idx="727">
                  <c:v>0</c:v>
                </c:pt>
                <c:pt idx="728">
                  <c:v>2</c:v>
                </c:pt>
                <c:pt idx="729">
                  <c:v>2</c:v>
                </c:pt>
                <c:pt idx="730">
                  <c:v>3</c:v>
                </c:pt>
                <c:pt idx="731">
                  <c:v>8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4</c:v>
                </c:pt>
                <c:pt idx="736">
                  <c:v>0</c:v>
                </c:pt>
                <c:pt idx="737">
                  <c:v>8</c:v>
                </c:pt>
                <c:pt idx="738">
                  <c:v>2</c:v>
                </c:pt>
                <c:pt idx="739">
                  <c:v>1</c:v>
                </c:pt>
                <c:pt idx="740">
                  <c:v>11</c:v>
                </c:pt>
                <c:pt idx="741">
                  <c:v>3</c:v>
                </c:pt>
                <c:pt idx="742">
                  <c:v>1</c:v>
                </c:pt>
                <c:pt idx="743">
                  <c:v>9</c:v>
                </c:pt>
                <c:pt idx="744">
                  <c:v>13</c:v>
                </c:pt>
                <c:pt idx="745">
                  <c:v>12</c:v>
                </c:pt>
                <c:pt idx="746">
                  <c:v>1</c:v>
                </c:pt>
                <c:pt idx="747">
                  <c:v>1</c:v>
                </c:pt>
                <c:pt idx="748">
                  <c:v>3</c:v>
                </c:pt>
                <c:pt idx="749">
                  <c:v>6</c:v>
                </c:pt>
                <c:pt idx="750">
                  <c:v>4</c:v>
                </c:pt>
                <c:pt idx="751">
                  <c:v>1</c:v>
                </c:pt>
                <c:pt idx="752">
                  <c:v>3</c:v>
                </c:pt>
                <c:pt idx="753">
                  <c:v>0</c:v>
                </c:pt>
                <c:pt idx="754">
                  <c:v>8</c:v>
                </c:pt>
                <c:pt idx="755">
                  <c:v>1</c:v>
                </c:pt>
                <c:pt idx="756">
                  <c:v>7</c:v>
                </c:pt>
                <c:pt idx="757">
                  <c:v>0</c:v>
                </c:pt>
                <c:pt idx="758">
                  <c:v>1</c:v>
                </c:pt>
                <c:pt idx="759">
                  <c:v>6</c:v>
                </c:pt>
                <c:pt idx="760">
                  <c:v>2</c:v>
                </c:pt>
                <c:pt idx="761">
                  <c:v>9</c:v>
                </c:pt>
                <c:pt idx="762">
                  <c:v>9</c:v>
                </c:pt>
                <c:pt idx="763">
                  <c:v>10</c:v>
                </c:pt>
                <c:pt idx="764">
                  <c:v>2</c:v>
                </c:pt>
                <c:pt idx="765">
                  <c:v>5</c:v>
                </c:pt>
                <c:pt idx="766">
                  <c:v>1</c:v>
                </c:pt>
                <c:pt idx="76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93A-42BB-AC5C-1EF88A7B2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473711"/>
        <c:axId val="1563475631"/>
      </c:scatterChart>
      <c:valAx>
        <c:axId val="156347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75631"/>
        <c:crosses val="autoZero"/>
        <c:crossBetween val="midCat"/>
      </c:valAx>
      <c:valAx>
        <c:axId val="156347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73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SkinThickness vs Insulin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pima!$D$2:$D$769</c:f>
              <c:numCache>
                <c:formatCode>General</c:formatCode>
                <c:ptCount val="768"/>
                <c:pt idx="0">
                  <c:v>35</c:v>
                </c:pt>
                <c:pt idx="1">
                  <c:v>29</c:v>
                </c:pt>
                <c:pt idx="2">
                  <c:v>0</c:v>
                </c:pt>
                <c:pt idx="3">
                  <c:v>23</c:v>
                </c:pt>
                <c:pt idx="4">
                  <c:v>35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  <c:pt idx="14">
                  <c:v>19</c:v>
                </c:pt>
                <c:pt idx="15">
                  <c:v>0</c:v>
                </c:pt>
                <c:pt idx="16">
                  <c:v>47</c:v>
                </c:pt>
                <c:pt idx="17">
                  <c:v>0</c:v>
                </c:pt>
                <c:pt idx="18">
                  <c:v>38</c:v>
                </c:pt>
                <c:pt idx="19">
                  <c:v>30</c:v>
                </c:pt>
                <c:pt idx="20">
                  <c:v>41</c:v>
                </c:pt>
                <c:pt idx="21">
                  <c:v>0</c:v>
                </c:pt>
                <c:pt idx="22">
                  <c:v>0</c:v>
                </c:pt>
                <c:pt idx="23">
                  <c:v>35</c:v>
                </c:pt>
                <c:pt idx="24">
                  <c:v>33</c:v>
                </c:pt>
                <c:pt idx="25">
                  <c:v>26</c:v>
                </c:pt>
                <c:pt idx="26">
                  <c:v>0</c:v>
                </c:pt>
                <c:pt idx="27">
                  <c:v>15</c:v>
                </c:pt>
                <c:pt idx="28">
                  <c:v>19</c:v>
                </c:pt>
                <c:pt idx="29">
                  <c:v>0</c:v>
                </c:pt>
                <c:pt idx="30">
                  <c:v>26</c:v>
                </c:pt>
                <c:pt idx="31">
                  <c:v>36</c:v>
                </c:pt>
                <c:pt idx="32">
                  <c:v>11</c:v>
                </c:pt>
                <c:pt idx="33">
                  <c:v>0</c:v>
                </c:pt>
                <c:pt idx="34">
                  <c:v>31</c:v>
                </c:pt>
                <c:pt idx="35">
                  <c:v>33</c:v>
                </c:pt>
                <c:pt idx="36">
                  <c:v>0</c:v>
                </c:pt>
                <c:pt idx="37">
                  <c:v>37</c:v>
                </c:pt>
                <c:pt idx="38">
                  <c:v>42</c:v>
                </c:pt>
                <c:pt idx="39">
                  <c:v>47</c:v>
                </c:pt>
                <c:pt idx="40">
                  <c:v>25</c:v>
                </c:pt>
                <c:pt idx="41">
                  <c:v>0</c:v>
                </c:pt>
                <c:pt idx="42">
                  <c:v>18</c:v>
                </c:pt>
                <c:pt idx="43">
                  <c:v>24</c:v>
                </c:pt>
                <c:pt idx="44">
                  <c:v>0</c:v>
                </c:pt>
                <c:pt idx="45">
                  <c:v>39</c:v>
                </c:pt>
                <c:pt idx="46">
                  <c:v>0</c:v>
                </c:pt>
                <c:pt idx="47">
                  <c:v>27</c:v>
                </c:pt>
                <c:pt idx="48">
                  <c:v>32</c:v>
                </c:pt>
                <c:pt idx="49">
                  <c:v>0</c:v>
                </c:pt>
                <c:pt idx="50">
                  <c:v>11</c:v>
                </c:pt>
                <c:pt idx="51">
                  <c:v>15</c:v>
                </c:pt>
                <c:pt idx="52">
                  <c:v>21</c:v>
                </c:pt>
                <c:pt idx="53">
                  <c:v>34</c:v>
                </c:pt>
                <c:pt idx="54">
                  <c:v>42</c:v>
                </c:pt>
                <c:pt idx="55">
                  <c:v>10</c:v>
                </c:pt>
                <c:pt idx="56">
                  <c:v>39</c:v>
                </c:pt>
                <c:pt idx="57">
                  <c:v>60</c:v>
                </c:pt>
                <c:pt idx="58">
                  <c:v>0</c:v>
                </c:pt>
                <c:pt idx="59">
                  <c:v>41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34</c:v>
                </c:pt>
                <c:pt idx="64">
                  <c:v>0</c:v>
                </c:pt>
                <c:pt idx="65">
                  <c:v>27</c:v>
                </c:pt>
                <c:pt idx="66">
                  <c:v>30</c:v>
                </c:pt>
                <c:pt idx="67">
                  <c:v>0</c:v>
                </c:pt>
                <c:pt idx="68">
                  <c:v>13</c:v>
                </c:pt>
                <c:pt idx="69">
                  <c:v>27</c:v>
                </c:pt>
                <c:pt idx="70">
                  <c:v>20</c:v>
                </c:pt>
                <c:pt idx="71">
                  <c:v>35</c:v>
                </c:pt>
                <c:pt idx="72">
                  <c:v>0</c:v>
                </c:pt>
                <c:pt idx="73">
                  <c:v>20</c:v>
                </c:pt>
                <c:pt idx="74">
                  <c:v>30</c:v>
                </c:pt>
                <c:pt idx="75">
                  <c:v>20</c:v>
                </c:pt>
                <c:pt idx="76">
                  <c:v>0</c:v>
                </c:pt>
                <c:pt idx="77">
                  <c:v>33</c:v>
                </c:pt>
                <c:pt idx="78">
                  <c:v>0</c:v>
                </c:pt>
                <c:pt idx="79">
                  <c:v>22</c:v>
                </c:pt>
                <c:pt idx="80">
                  <c:v>13</c:v>
                </c:pt>
                <c:pt idx="81">
                  <c:v>0</c:v>
                </c:pt>
                <c:pt idx="82">
                  <c:v>26</c:v>
                </c:pt>
                <c:pt idx="83">
                  <c:v>28</c:v>
                </c:pt>
                <c:pt idx="84">
                  <c:v>0</c:v>
                </c:pt>
                <c:pt idx="85">
                  <c:v>29</c:v>
                </c:pt>
                <c:pt idx="86">
                  <c:v>54</c:v>
                </c:pt>
                <c:pt idx="87">
                  <c:v>25</c:v>
                </c:pt>
                <c:pt idx="88">
                  <c:v>32</c:v>
                </c:pt>
                <c:pt idx="89">
                  <c:v>19</c:v>
                </c:pt>
                <c:pt idx="90">
                  <c:v>0</c:v>
                </c:pt>
                <c:pt idx="91">
                  <c:v>15</c:v>
                </c:pt>
                <c:pt idx="92">
                  <c:v>40</c:v>
                </c:pt>
                <c:pt idx="93">
                  <c:v>0</c:v>
                </c:pt>
                <c:pt idx="94">
                  <c:v>18</c:v>
                </c:pt>
                <c:pt idx="95">
                  <c:v>27</c:v>
                </c:pt>
                <c:pt idx="96">
                  <c:v>28</c:v>
                </c:pt>
                <c:pt idx="97">
                  <c:v>18</c:v>
                </c:pt>
                <c:pt idx="98">
                  <c:v>30</c:v>
                </c:pt>
                <c:pt idx="99">
                  <c:v>51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18</c:v>
                </c:pt>
                <c:pt idx="104">
                  <c:v>0</c:v>
                </c:pt>
                <c:pt idx="105">
                  <c:v>29</c:v>
                </c:pt>
                <c:pt idx="106">
                  <c:v>0</c:v>
                </c:pt>
                <c:pt idx="107">
                  <c:v>28</c:v>
                </c:pt>
                <c:pt idx="108">
                  <c:v>31</c:v>
                </c:pt>
                <c:pt idx="109">
                  <c:v>25</c:v>
                </c:pt>
                <c:pt idx="110">
                  <c:v>33</c:v>
                </c:pt>
                <c:pt idx="111">
                  <c:v>26</c:v>
                </c:pt>
                <c:pt idx="112">
                  <c:v>34</c:v>
                </c:pt>
                <c:pt idx="113">
                  <c:v>0</c:v>
                </c:pt>
                <c:pt idx="114">
                  <c:v>32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23</c:v>
                </c:pt>
                <c:pt idx="119">
                  <c:v>15</c:v>
                </c:pt>
                <c:pt idx="120">
                  <c:v>56</c:v>
                </c:pt>
                <c:pt idx="121">
                  <c:v>39</c:v>
                </c:pt>
                <c:pt idx="122">
                  <c:v>30</c:v>
                </c:pt>
                <c:pt idx="123">
                  <c:v>0</c:v>
                </c:pt>
                <c:pt idx="124">
                  <c:v>0</c:v>
                </c:pt>
                <c:pt idx="125">
                  <c:v>42</c:v>
                </c:pt>
                <c:pt idx="126">
                  <c:v>30</c:v>
                </c:pt>
                <c:pt idx="127">
                  <c:v>36</c:v>
                </c:pt>
                <c:pt idx="128">
                  <c:v>24</c:v>
                </c:pt>
                <c:pt idx="129">
                  <c:v>0</c:v>
                </c:pt>
                <c:pt idx="130">
                  <c:v>14</c:v>
                </c:pt>
                <c:pt idx="131">
                  <c:v>0</c:v>
                </c:pt>
                <c:pt idx="132">
                  <c:v>37</c:v>
                </c:pt>
                <c:pt idx="133">
                  <c:v>31</c:v>
                </c:pt>
                <c:pt idx="134">
                  <c:v>13</c:v>
                </c:pt>
                <c:pt idx="135">
                  <c:v>20</c:v>
                </c:pt>
                <c:pt idx="136">
                  <c:v>26</c:v>
                </c:pt>
                <c:pt idx="137">
                  <c:v>25</c:v>
                </c:pt>
                <c:pt idx="138">
                  <c:v>0</c:v>
                </c:pt>
                <c:pt idx="139">
                  <c:v>29</c:v>
                </c:pt>
                <c:pt idx="140">
                  <c:v>0</c:v>
                </c:pt>
                <c:pt idx="141">
                  <c:v>30</c:v>
                </c:pt>
                <c:pt idx="142">
                  <c:v>26</c:v>
                </c:pt>
                <c:pt idx="143">
                  <c:v>0</c:v>
                </c:pt>
                <c:pt idx="144">
                  <c:v>31</c:v>
                </c:pt>
                <c:pt idx="145">
                  <c:v>23</c:v>
                </c:pt>
                <c:pt idx="146">
                  <c:v>37</c:v>
                </c:pt>
                <c:pt idx="147">
                  <c:v>35</c:v>
                </c:pt>
                <c:pt idx="148">
                  <c:v>0</c:v>
                </c:pt>
                <c:pt idx="149">
                  <c:v>17</c:v>
                </c:pt>
                <c:pt idx="150">
                  <c:v>50</c:v>
                </c:pt>
                <c:pt idx="151">
                  <c:v>0</c:v>
                </c:pt>
                <c:pt idx="152">
                  <c:v>28</c:v>
                </c:pt>
                <c:pt idx="153">
                  <c:v>42</c:v>
                </c:pt>
                <c:pt idx="154">
                  <c:v>0</c:v>
                </c:pt>
                <c:pt idx="155">
                  <c:v>44</c:v>
                </c:pt>
                <c:pt idx="156">
                  <c:v>15</c:v>
                </c:pt>
                <c:pt idx="157">
                  <c:v>21</c:v>
                </c:pt>
                <c:pt idx="158">
                  <c:v>19</c:v>
                </c:pt>
                <c:pt idx="159">
                  <c:v>41</c:v>
                </c:pt>
                <c:pt idx="160">
                  <c:v>38</c:v>
                </c:pt>
                <c:pt idx="161">
                  <c:v>40</c:v>
                </c:pt>
                <c:pt idx="162">
                  <c:v>34</c:v>
                </c:pt>
                <c:pt idx="163">
                  <c:v>23</c:v>
                </c:pt>
                <c:pt idx="164">
                  <c:v>0</c:v>
                </c:pt>
                <c:pt idx="165">
                  <c:v>18</c:v>
                </c:pt>
                <c:pt idx="166">
                  <c:v>25</c:v>
                </c:pt>
                <c:pt idx="167">
                  <c:v>0</c:v>
                </c:pt>
                <c:pt idx="168">
                  <c:v>0</c:v>
                </c:pt>
                <c:pt idx="169">
                  <c:v>12</c:v>
                </c:pt>
                <c:pt idx="170">
                  <c:v>0</c:v>
                </c:pt>
                <c:pt idx="171">
                  <c:v>23</c:v>
                </c:pt>
                <c:pt idx="172">
                  <c:v>23</c:v>
                </c:pt>
                <c:pt idx="173">
                  <c:v>42</c:v>
                </c:pt>
                <c:pt idx="174">
                  <c:v>24</c:v>
                </c:pt>
                <c:pt idx="175">
                  <c:v>42</c:v>
                </c:pt>
                <c:pt idx="176">
                  <c:v>0</c:v>
                </c:pt>
                <c:pt idx="177">
                  <c:v>46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18</c:v>
                </c:pt>
                <c:pt idx="182">
                  <c:v>20</c:v>
                </c:pt>
                <c:pt idx="183">
                  <c:v>0</c:v>
                </c:pt>
                <c:pt idx="184">
                  <c:v>0</c:v>
                </c:pt>
                <c:pt idx="185">
                  <c:v>28</c:v>
                </c:pt>
                <c:pt idx="186">
                  <c:v>36</c:v>
                </c:pt>
                <c:pt idx="187">
                  <c:v>41</c:v>
                </c:pt>
                <c:pt idx="188">
                  <c:v>39</c:v>
                </c:pt>
                <c:pt idx="189">
                  <c:v>35</c:v>
                </c:pt>
                <c:pt idx="190">
                  <c:v>0</c:v>
                </c:pt>
                <c:pt idx="191">
                  <c:v>44</c:v>
                </c:pt>
                <c:pt idx="192">
                  <c:v>0</c:v>
                </c:pt>
                <c:pt idx="193">
                  <c:v>0</c:v>
                </c:pt>
                <c:pt idx="194">
                  <c:v>20</c:v>
                </c:pt>
                <c:pt idx="195">
                  <c:v>41</c:v>
                </c:pt>
                <c:pt idx="196">
                  <c:v>0</c:v>
                </c:pt>
                <c:pt idx="197">
                  <c:v>13</c:v>
                </c:pt>
                <c:pt idx="198">
                  <c:v>44</c:v>
                </c:pt>
                <c:pt idx="199">
                  <c:v>27</c:v>
                </c:pt>
                <c:pt idx="200">
                  <c:v>16</c:v>
                </c:pt>
                <c:pt idx="201">
                  <c:v>0</c:v>
                </c:pt>
                <c:pt idx="202">
                  <c:v>20</c:v>
                </c:pt>
                <c:pt idx="203">
                  <c:v>16</c:v>
                </c:pt>
                <c:pt idx="204">
                  <c:v>32</c:v>
                </c:pt>
                <c:pt idx="205">
                  <c:v>28</c:v>
                </c:pt>
                <c:pt idx="206">
                  <c:v>29</c:v>
                </c:pt>
                <c:pt idx="207">
                  <c:v>0</c:v>
                </c:pt>
                <c:pt idx="208">
                  <c:v>27</c:v>
                </c:pt>
                <c:pt idx="209">
                  <c:v>33</c:v>
                </c:pt>
                <c:pt idx="210">
                  <c:v>22</c:v>
                </c:pt>
                <c:pt idx="211">
                  <c:v>54</c:v>
                </c:pt>
                <c:pt idx="212">
                  <c:v>31</c:v>
                </c:pt>
                <c:pt idx="213">
                  <c:v>26</c:v>
                </c:pt>
                <c:pt idx="214">
                  <c:v>32</c:v>
                </c:pt>
                <c:pt idx="215">
                  <c:v>40</c:v>
                </c:pt>
                <c:pt idx="216">
                  <c:v>41</c:v>
                </c:pt>
                <c:pt idx="217">
                  <c:v>30</c:v>
                </c:pt>
                <c:pt idx="218">
                  <c:v>22</c:v>
                </c:pt>
                <c:pt idx="219">
                  <c:v>0</c:v>
                </c:pt>
                <c:pt idx="220">
                  <c:v>29</c:v>
                </c:pt>
                <c:pt idx="221">
                  <c:v>0</c:v>
                </c:pt>
                <c:pt idx="222">
                  <c:v>0</c:v>
                </c:pt>
                <c:pt idx="223">
                  <c:v>33</c:v>
                </c:pt>
                <c:pt idx="224">
                  <c:v>15</c:v>
                </c:pt>
                <c:pt idx="225">
                  <c:v>27</c:v>
                </c:pt>
                <c:pt idx="226">
                  <c:v>0</c:v>
                </c:pt>
                <c:pt idx="227">
                  <c:v>38</c:v>
                </c:pt>
                <c:pt idx="228">
                  <c:v>39</c:v>
                </c:pt>
                <c:pt idx="229">
                  <c:v>31</c:v>
                </c:pt>
                <c:pt idx="230">
                  <c:v>0</c:v>
                </c:pt>
                <c:pt idx="231">
                  <c:v>37</c:v>
                </c:pt>
                <c:pt idx="232">
                  <c:v>25</c:v>
                </c:pt>
                <c:pt idx="233">
                  <c:v>0</c:v>
                </c:pt>
                <c:pt idx="234">
                  <c:v>28</c:v>
                </c:pt>
                <c:pt idx="235">
                  <c:v>0</c:v>
                </c:pt>
                <c:pt idx="236">
                  <c:v>21</c:v>
                </c:pt>
                <c:pt idx="237">
                  <c:v>27</c:v>
                </c:pt>
                <c:pt idx="238">
                  <c:v>21</c:v>
                </c:pt>
                <c:pt idx="239">
                  <c:v>0</c:v>
                </c:pt>
                <c:pt idx="240">
                  <c:v>24</c:v>
                </c:pt>
                <c:pt idx="241">
                  <c:v>32</c:v>
                </c:pt>
                <c:pt idx="242">
                  <c:v>0</c:v>
                </c:pt>
                <c:pt idx="243">
                  <c:v>22</c:v>
                </c:pt>
                <c:pt idx="244">
                  <c:v>35</c:v>
                </c:pt>
                <c:pt idx="245">
                  <c:v>15</c:v>
                </c:pt>
                <c:pt idx="246">
                  <c:v>0</c:v>
                </c:pt>
                <c:pt idx="247">
                  <c:v>33</c:v>
                </c:pt>
                <c:pt idx="248">
                  <c:v>33</c:v>
                </c:pt>
                <c:pt idx="249">
                  <c:v>19</c:v>
                </c:pt>
                <c:pt idx="250">
                  <c:v>0</c:v>
                </c:pt>
                <c:pt idx="251">
                  <c:v>0</c:v>
                </c:pt>
                <c:pt idx="252">
                  <c:v>14</c:v>
                </c:pt>
                <c:pt idx="253">
                  <c:v>32</c:v>
                </c:pt>
                <c:pt idx="254">
                  <c:v>7</c:v>
                </c:pt>
                <c:pt idx="255">
                  <c:v>35</c:v>
                </c:pt>
                <c:pt idx="256">
                  <c:v>39</c:v>
                </c:pt>
                <c:pt idx="257">
                  <c:v>22</c:v>
                </c:pt>
                <c:pt idx="258">
                  <c:v>16</c:v>
                </c:pt>
                <c:pt idx="259">
                  <c:v>28</c:v>
                </c:pt>
                <c:pt idx="260">
                  <c:v>15</c:v>
                </c:pt>
                <c:pt idx="261">
                  <c:v>0</c:v>
                </c:pt>
                <c:pt idx="262">
                  <c:v>32</c:v>
                </c:pt>
                <c:pt idx="263">
                  <c:v>15</c:v>
                </c:pt>
                <c:pt idx="264">
                  <c:v>0</c:v>
                </c:pt>
                <c:pt idx="265">
                  <c:v>18</c:v>
                </c:pt>
                <c:pt idx="266">
                  <c:v>0</c:v>
                </c:pt>
                <c:pt idx="267">
                  <c:v>42</c:v>
                </c:pt>
                <c:pt idx="268">
                  <c:v>0</c:v>
                </c:pt>
                <c:pt idx="269">
                  <c:v>0</c:v>
                </c:pt>
                <c:pt idx="270">
                  <c:v>37</c:v>
                </c:pt>
                <c:pt idx="271">
                  <c:v>32</c:v>
                </c:pt>
                <c:pt idx="272">
                  <c:v>0</c:v>
                </c:pt>
                <c:pt idx="273">
                  <c:v>50</c:v>
                </c:pt>
                <c:pt idx="274">
                  <c:v>0</c:v>
                </c:pt>
                <c:pt idx="275">
                  <c:v>52</c:v>
                </c:pt>
                <c:pt idx="276">
                  <c:v>24</c:v>
                </c:pt>
                <c:pt idx="277">
                  <c:v>23</c:v>
                </c:pt>
                <c:pt idx="278">
                  <c:v>0</c:v>
                </c:pt>
                <c:pt idx="279">
                  <c:v>10</c:v>
                </c:pt>
                <c:pt idx="280">
                  <c:v>0</c:v>
                </c:pt>
                <c:pt idx="281">
                  <c:v>28</c:v>
                </c:pt>
                <c:pt idx="282">
                  <c:v>15</c:v>
                </c:pt>
                <c:pt idx="283">
                  <c:v>0</c:v>
                </c:pt>
                <c:pt idx="284">
                  <c:v>0</c:v>
                </c:pt>
                <c:pt idx="285">
                  <c:v>26</c:v>
                </c:pt>
                <c:pt idx="286">
                  <c:v>44</c:v>
                </c:pt>
                <c:pt idx="287">
                  <c:v>39</c:v>
                </c:pt>
                <c:pt idx="288">
                  <c:v>17</c:v>
                </c:pt>
                <c:pt idx="289">
                  <c:v>43</c:v>
                </c:pt>
                <c:pt idx="290">
                  <c:v>29</c:v>
                </c:pt>
                <c:pt idx="291">
                  <c:v>30</c:v>
                </c:pt>
                <c:pt idx="292">
                  <c:v>37</c:v>
                </c:pt>
                <c:pt idx="293">
                  <c:v>45</c:v>
                </c:pt>
                <c:pt idx="294">
                  <c:v>0</c:v>
                </c:pt>
                <c:pt idx="295">
                  <c:v>31</c:v>
                </c:pt>
                <c:pt idx="296">
                  <c:v>38</c:v>
                </c:pt>
                <c:pt idx="297">
                  <c:v>29</c:v>
                </c:pt>
                <c:pt idx="298">
                  <c:v>25</c:v>
                </c:pt>
                <c:pt idx="299">
                  <c:v>0</c:v>
                </c:pt>
                <c:pt idx="300">
                  <c:v>0</c:v>
                </c:pt>
                <c:pt idx="301">
                  <c:v>33</c:v>
                </c:pt>
                <c:pt idx="302">
                  <c:v>41</c:v>
                </c:pt>
                <c:pt idx="303">
                  <c:v>0</c:v>
                </c:pt>
                <c:pt idx="304">
                  <c:v>0</c:v>
                </c:pt>
                <c:pt idx="305">
                  <c:v>37</c:v>
                </c:pt>
                <c:pt idx="306">
                  <c:v>23</c:v>
                </c:pt>
                <c:pt idx="307">
                  <c:v>14</c:v>
                </c:pt>
                <c:pt idx="308">
                  <c:v>19</c:v>
                </c:pt>
                <c:pt idx="309">
                  <c:v>28</c:v>
                </c:pt>
                <c:pt idx="310">
                  <c:v>30</c:v>
                </c:pt>
                <c:pt idx="311">
                  <c:v>37</c:v>
                </c:pt>
                <c:pt idx="312">
                  <c:v>17</c:v>
                </c:pt>
                <c:pt idx="313">
                  <c:v>10</c:v>
                </c:pt>
                <c:pt idx="314">
                  <c:v>31</c:v>
                </c:pt>
                <c:pt idx="315">
                  <c:v>22</c:v>
                </c:pt>
                <c:pt idx="316">
                  <c:v>11</c:v>
                </c:pt>
                <c:pt idx="317">
                  <c:v>0</c:v>
                </c:pt>
                <c:pt idx="318">
                  <c:v>39</c:v>
                </c:pt>
                <c:pt idx="319">
                  <c:v>0</c:v>
                </c:pt>
                <c:pt idx="320">
                  <c:v>12</c:v>
                </c:pt>
                <c:pt idx="321">
                  <c:v>30</c:v>
                </c:pt>
                <c:pt idx="322">
                  <c:v>20</c:v>
                </c:pt>
                <c:pt idx="323">
                  <c:v>33</c:v>
                </c:pt>
                <c:pt idx="324">
                  <c:v>32</c:v>
                </c:pt>
                <c:pt idx="325">
                  <c:v>21</c:v>
                </c:pt>
                <c:pt idx="326">
                  <c:v>32</c:v>
                </c:pt>
                <c:pt idx="327">
                  <c:v>0</c:v>
                </c:pt>
                <c:pt idx="328">
                  <c:v>36</c:v>
                </c:pt>
                <c:pt idx="329">
                  <c:v>32</c:v>
                </c:pt>
                <c:pt idx="330">
                  <c:v>19</c:v>
                </c:pt>
                <c:pt idx="331">
                  <c:v>16</c:v>
                </c:pt>
                <c:pt idx="332">
                  <c:v>0</c:v>
                </c:pt>
                <c:pt idx="333">
                  <c:v>0</c:v>
                </c:pt>
                <c:pt idx="334">
                  <c:v>18</c:v>
                </c:pt>
                <c:pt idx="335">
                  <c:v>43</c:v>
                </c:pt>
                <c:pt idx="336">
                  <c:v>0</c:v>
                </c:pt>
                <c:pt idx="337">
                  <c:v>0</c:v>
                </c:pt>
                <c:pt idx="338">
                  <c:v>34</c:v>
                </c:pt>
                <c:pt idx="339">
                  <c:v>0</c:v>
                </c:pt>
                <c:pt idx="340">
                  <c:v>13</c:v>
                </c:pt>
                <c:pt idx="341">
                  <c:v>21</c:v>
                </c:pt>
                <c:pt idx="342">
                  <c:v>35</c:v>
                </c:pt>
                <c:pt idx="343">
                  <c:v>0</c:v>
                </c:pt>
                <c:pt idx="344">
                  <c:v>0</c:v>
                </c:pt>
                <c:pt idx="345">
                  <c:v>36</c:v>
                </c:pt>
                <c:pt idx="346">
                  <c:v>19</c:v>
                </c:pt>
                <c:pt idx="347">
                  <c:v>0</c:v>
                </c:pt>
                <c:pt idx="348">
                  <c:v>19</c:v>
                </c:pt>
                <c:pt idx="349">
                  <c:v>32</c:v>
                </c:pt>
                <c:pt idx="350">
                  <c:v>0</c:v>
                </c:pt>
                <c:pt idx="351">
                  <c:v>0</c:v>
                </c:pt>
                <c:pt idx="352">
                  <c:v>28</c:v>
                </c:pt>
                <c:pt idx="353">
                  <c:v>12</c:v>
                </c:pt>
                <c:pt idx="354">
                  <c:v>0</c:v>
                </c:pt>
                <c:pt idx="355">
                  <c:v>0</c:v>
                </c:pt>
                <c:pt idx="356">
                  <c:v>40</c:v>
                </c:pt>
                <c:pt idx="357">
                  <c:v>30</c:v>
                </c:pt>
                <c:pt idx="358">
                  <c:v>40</c:v>
                </c:pt>
                <c:pt idx="359">
                  <c:v>36</c:v>
                </c:pt>
                <c:pt idx="360">
                  <c:v>33</c:v>
                </c:pt>
                <c:pt idx="361">
                  <c:v>0</c:v>
                </c:pt>
                <c:pt idx="362">
                  <c:v>37</c:v>
                </c:pt>
                <c:pt idx="363">
                  <c:v>0</c:v>
                </c:pt>
                <c:pt idx="364">
                  <c:v>25</c:v>
                </c:pt>
                <c:pt idx="365">
                  <c:v>28</c:v>
                </c:pt>
                <c:pt idx="366">
                  <c:v>0</c:v>
                </c:pt>
                <c:pt idx="367">
                  <c:v>17</c:v>
                </c:pt>
                <c:pt idx="368">
                  <c:v>16</c:v>
                </c:pt>
                <c:pt idx="369">
                  <c:v>28</c:v>
                </c:pt>
                <c:pt idx="370">
                  <c:v>48</c:v>
                </c:pt>
                <c:pt idx="371">
                  <c:v>23</c:v>
                </c:pt>
                <c:pt idx="372">
                  <c:v>22</c:v>
                </c:pt>
                <c:pt idx="373">
                  <c:v>40</c:v>
                </c:pt>
                <c:pt idx="374">
                  <c:v>43</c:v>
                </c:pt>
                <c:pt idx="375">
                  <c:v>43</c:v>
                </c:pt>
                <c:pt idx="376">
                  <c:v>15</c:v>
                </c:pt>
                <c:pt idx="377">
                  <c:v>37</c:v>
                </c:pt>
                <c:pt idx="378">
                  <c:v>0</c:v>
                </c:pt>
                <c:pt idx="379">
                  <c:v>39</c:v>
                </c:pt>
                <c:pt idx="380">
                  <c:v>30</c:v>
                </c:pt>
                <c:pt idx="381">
                  <c:v>22</c:v>
                </c:pt>
                <c:pt idx="382">
                  <c:v>8</c:v>
                </c:pt>
                <c:pt idx="383">
                  <c:v>18</c:v>
                </c:pt>
                <c:pt idx="384">
                  <c:v>24</c:v>
                </c:pt>
                <c:pt idx="385">
                  <c:v>13</c:v>
                </c:pt>
                <c:pt idx="386">
                  <c:v>29</c:v>
                </c:pt>
                <c:pt idx="387">
                  <c:v>36</c:v>
                </c:pt>
                <c:pt idx="388">
                  <c:v>26</c:v>
                </c:pt>
                <c:pt idx="389">
                  <c:v>23</c:v>
                </c:pt>
                <c:pt idx="390">
                  <c:v>29</c:v>
                </c:pt>
                <c:pt idx="391">
                  <c:v>0</c:v>
                </c:pt>
                <c:pt idx="392">
                  <c:v>14</c:v>
                </c:pt>
                <c:pt idx="393">
                  <c:v>12</c:v>
                </c:pt>
                <c:pt idx="394">
                  <c:v>0</c:v>
                </c:pt>
                <c:pt idx="395">
                  <c:v>24</c:v>
                </c:pt>
                <c:pt idx="396">
                  <c:v>34</c:v>
                </c:pt>
                <c:pt idx="397">
                  <c:v>40</c:v>
                </c:pt>
                <c:pt idx="398">
                  <c:v>0</c:v>
                </c:pt>
                <c:pt idx="399">
                  <c:v>31</c:v>
                </c:pt>
                <c:pt idx="400">
                  <c:v>0</c:v>
                </c:pt>
                <c:pt idx="401">
                  <c:v>0</c:v>
                </c:pt>
                <c:pt idx="402">
                  <c:v>41</c:v>
                </c:pt>
                <c:pt idx="403">
                  <c:v>25</c:v>
                </c:pt>
                <c:pt idx="404">
                  <c:v>0</c:v>
                </c:pt>
                <c:pt idx="405">
                  <c:v>32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49</c:v>
                </c:pt>
                <c:pt idx="410">
                  <c:v>39</c:v>
                </c:pt>
                <c:pt idx="411">
                  <c:v>30</c:v>
                </c:pt>
                <c:pt idx="412">
                  <c:v>23</c:v>
                </c:pt>
                <c:pt idx="413">
                  <c:v>22</c:v>
                </c:pt>
                <c:pt idx="414">
                  <c:v>35</c:v>
                </c:pt>
                <c:pt idx="415">
                  <c:v>33</c:v>
                </c:pt>
                <c:pt idx="416">
                  <c:v>21</c:v>
                </c:pt>
                <c:pt idx="417">
                  <c:v>32</c:v>
                </c:pt>
                <c:pt idx="418">
                  <c:v>0</c:v>
                </c:pt>
                <c:pt idx="419">
                  <c:v>29</c:v>
                </c:pt>
                <c:pt idx="420">
                  <c:v>41</c:v>
                </c:pt>
                <c:pt idx="421">
                  <c:v>18</c:v>
                </c:pt>
                <c:pt idx="422">
                  <c:v>46</c:v>
                </c:pt>
                <c:pt idx="423">
                  <c:v>22</c:v>
                </c:pt>
                <c:pt idx="424">
                  <c:v>32</c:v>
                </c:pt>
                <c:pt idx="425">
                  <c:v>39</c:v>
                </c:pt>
                <c:pt idx="426">
                  <c:v>0</c:v>
                </c:pt>
                <c:pt idx="427">
                  <c:v>30</c:v>
                </c:pt>
                <c:pt idx="428">
                  <c:v>46</c:v>
                </c:pt>
                <c:pt idx="429">
                  <c:v>25</c:v>
                </c:pt>
                <c:pt idx="430">
                  <c:v>0</c:v>
                </c:pt>
                <c:pt idx="431">
                  <c:v>16</c:v>
                </c:pt>
                <c:pt idx="432">
                  <c:v>11</c:v>
                </c:pt>
                <c:pt idx="433">
                  <c:v>0</c:v>
                </c:pt>
                <c:pt idx="434">
                  <c:v>8</c:v>
                </c:pt>
                <c:pt idx="435">
                  <c:v>0</c:v>
                </c:pt>
                <c:pt idx="436">
                  <c:v>33</c:v>
                </c:pt>
                <c:pt idx="437">
                  <c:v>0</c:v>
                </c:pt>
                <c:pt idx="438">
                  <c:v>15</c:v>
                </c:pt>
                <c:pt idx="439">
                  <c:v>0</c:v>
                </c:pt>
                <c:pt idx="440">
                  <c:v>25</c:v>
                </c:pt>
                <c:pt idx="441">
                  <c:v>23</c:v>
                </c:pt>
                <c:pt idx="442">
                  <c:v>27</c:v>
                </c:pt>
                <c:pt idx="443">
                  <c:v>0</c:v>
                </c:pt>
                <c:pt idx="444">
                  <c:v>12</c:v>
                </c:pt>
                <c:pt idx="445">
                  <c:v>63</c:v>
                </c:pt>
                <c:pt idx="446">
                  <c:v>12</c:v>
                </c:pt>
                <c:pt idx="447">
                  <c:v>45</c:v>
                </c:pt>
                <c:pt idx="448">
                  <c:v>37</c:v>
                </c:pt>
                <c:pt idx="449">
                  <c:v>18</c:v>
                </c:pt>
                <c:pt idx="450">
                  <c:v>13</c:v>
                </c:pt>
                <c:pt idx="451">
                  <c:v>0</c:v>
                </c:pt>
                <c:pt idx="452">
                  <c:v>32</c:v>
                </c:pt>
                <c:pt idx="453">
                  <c:v>0</c:v>
                </c:pt>
                <c:pt idx="454">
                  <c:v>28</c:v>
                </c:pt>
                <c:pt idx="455">
                  <c:v>30</c:v>
                </c:pt>
                <c:pt idx="456">
                  <c:v>0</c:v>
                </c:pt>
                <c:pt idx="457">
                  <c:v>28</c:v>
                </c:pt>
                <c:pt idx="458">
                  <c:v>48</c:v>
                </c:pt>
                <c:pt idx="459">
                  <c:v>33</c:v>
                </c:pt>
                <c:pt idx="460">
                  <c:v>22</c:v>
                </c:pt>
                <c:pt idx="461">
                  <c:v>0</c:v>
                </c:pt>
                <c:pt idx="462">
                  <c:v>40</c:v>
                </c:pt>
                <c:pt idx="463">
                  <c:v>30</c:v>
                </c:pt>
                <c:pt idx="464">
                  <c:v>0</c:v>
                </c:pt>
                <c:pt idx="465">
                  <c:v>13</c:v>
                </c:pt>
                <c:pt idx="466">
                  <c:v>10</c:v>
                </c:pt>
                <c:pt idx="467">
                  <c:v>36</c:v>
                </c:pt>
                <c:pt idx="468">
                  <c:v>0</c:v>
                </c:pt>
                <c:pt idx="469">
                  <c:v>41</c:v>
                </c:pt>
                <c:pt idx="470">
                  <c:v>40</c:v>
                </c:pt>
                <c:pt idx="471">
                  <c:v>38</c:v>
                </c:pt>
                <c:pt idx="472">
                  <c:v>27</c:v>
                </c:pt>
                <c:pt idx="473">
                  <c:v>0</c:v>
                </c:pt>
                <c:pt idx="474">
                  <c:v>0</c:v>
                </c:pt>
                <c:pt idx="475">
                  <c:v>27</c:v>
                </c:pt>
                <c:pt idx="476">
                  <c:v>45</c:v>
                </c:pt>
                <c:pt idx="477">
                  <c:v>17</c:v>
                </c:pt>
                <c:pt idx="478">
                  <c:v>38</c:v>
                </c:pt>
                <c:pt idx="479">
                  <c:v>31</c:v>
                </c:pt>
                <c:pt idx="480">
                  <c:v>30</c:v>
                </c:pt>
                <c:pt idx="481">
                  <c:v>37</c:v>
                </c:pt>
                <c:pt idx="482">
                  <c:v>22</c:v>
                </c:pt>
                <c:pt idx="483">
                  <c:v>31</c:v>
                </c:pt>
                <c:pt idx="484">
                  <c:v>0</c:v>
                </c:pt>
                <c:pt idx="485">
                  <c:v>42</c:v>
                </c:pt>
                <c:pt idx="486">
                  <c:v>41</c:v>
                </c:pt>
                <c:pt idx="487">
                  <c:v>32</c:v>
                </c:pt>
                <c:pt idx="488">
                  <c:v>17</c:v>
                </c:pt>
                <c:pt idx="489">
                  <c:v>0</c:v>
                </c:pt>
                <c:pt idx="490">
                  <c:v>28</c:v>
                </c:pt>
                <c:pt idx="491">
                  <c:v>30</c:v>
                </c:pt>
                <c:pt idx="492">
                  <c:v>38</c:v>
                </c:pt>
                <c:pt idx="493">
                  <c:v>18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15</c:v>
                </c:pt>
                <c:pt idx="498">
                  <c:v>33</c:v>
                </c:pt>
                <c:pt idx="499">
                  <c:v>32</c:v>
                </c:pt>
                <c:pt idx="500">
                  <c:v>19</c:v>
                </c:pt>
                <c:pt idx="501">
                  <c:v>32</c:v>
                </c:pt>
                <c:pt idx="502">
                  <c:v>41</c:v>
                </c:pt>
                <c:pt idx="503">
                  <c:v>25</c:v>
                </c:pt>
                <c:pt idx="504">
                  <c:v>39</c:v>
                </c:pt>
                <c:pt idx="505">
                  <c:v>0</c:v>
                </c:pt>
                <c:pt idx="506">
                  <c:v>26</c:v>
                </c:pt>
                <c:pt idx="507">
                  <c:v>23</c:v>
                </c:pt>
                <c:pt idx="508">
                  <c:v>23</c:v>
                </c:pt>
                <c:pt idx="509">
                  <c:v>0</c:v>
                </c:pt>
                <c:pt idx="510">
                  <c:v>31</c:v>
                </c:pt>
                <c:pt idx="511">
                  <c:v>17</c:v>
                </c:pt>
                <c:pt idx="512">
                  <c:v>0</c:v>
                </c:pt>
                <c:pt idx="513">
                  <c:v>0</c:v>
                </c:pt>
                <c:pt idx="514">
                  <c:v>19</c:v>
                </c:pt>
                <c:pt idx="515">
                  <c:v>18</c:v>
                </c:pt>
                <c:pt idx="516">
                  <c:v>34</c:v>
                </c:pt>
                <c:pt idx="517">
                  <c:v>0</c:v>
                </c:pt>
                <c:pt idx="518">
                  <c:v>0</c:v>
                </c:pt>
                <c:pt idx="519">
                  <c:v>7</c:v>
                </c:pt>
                <c:pt idx="520">
                  <c:v>32</c:v>
                </c:pt>
                <c:pt idx="521">
                  <c:v>33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18</c:v>
                </c:pt>
                <c:pt idx="526">
                  <c:v>19</c:v>
                </c:pt>
                <c:pt idx="527">
                  <c:v>15</c:v>
                </c:pt>
                <c:pt idx="528">
                  <c:v>31</c:v>
                </c:pt>
                <c:pt idx="529">
                  <c:v>0</c:v>
                </c:pt>
                <c:pt idx="530">
                  <c:v>18</c:v>
                </c:pt>
                <c:pt idx="531">
                  <c:v>0</c:v>
                </c:pt>
                <c:pt idx="532">
                  <c:v>52</c:v>
                </c:pt>
                <c:pt idx="533">
                  <c:v>0</c:v>
                </c:pt>
                <c:pt idx="534">
                  <c:v>30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37</c:v>
                </c:pt>
                <c:pt idx="539">
                  <c:v>49</c:v>
                </c:pt>
                <c:pt idx="540">
                  <c:v>40</c:v>
                </c:pt>
                <c:pt idx="541">
                  <c:v>25</c:v>
                </c:pt>
                <c:pt idx="542">
                  <c:v>32</c:v>
                </c:pt>
                <c:pt idx="543">
                  <c:v>23</c:v>
                </c:pt>
                <c:pt idx="544">
                  <c:v>29</c:v>
                </c:pt>
                <c:pt idx="545">
                  <c:v>35</c:v>
                </c:pt>
                <c:pt idx="546">
                  <c:v>27</c:v>
                </c:pt>
                <c:pt idx="547">
                  <c:v>21</c:v>
                </c:pt>
                <c:pt idx="548">
                  <c:v>43</c:v>
                </c:pt>
                <c:pt idx="549">
                  <c:v>31</c:v>
                </c:pt>
                <c:pt idx="550">
                  <c:v>28</c:v>
                </c:pt>
                <c:pt idx="551">
                  <c:v>30</c:v>
                </c:pt>
                <c:pt idx="552">
                  <c:v>0</c:v>
                </c:pt>
                <c:pt idx="553">
                  <c:v>24</c:v>
                </c:pt>
                <c:pt idx="554">
                  <c:v>23</c:v>
                </c:pt>
                <c:pt idx="555">
                  <c:v>33</c:v>
                </c:pt>
                <c:pt idx="556">
                  <c:v>40</c:v>
                </c:pt>
                <c:pt idx="557">
                  <c:v>0</c:v>
                </c:pt>
                <c:pt idx="558">
                  <c:v>40</c:v>
                </c:pt>
                <c:pt idx="559">
                  <c:v>0</c:v>
                </c:pt>
                <c:pt idx="560">
                  <c:v>0</c:v>
                </c:pt>
                <c:pt idx="561">
                  <c:v>32</c:v>
                </c:pt>
                <c:pt idx="562">
                  <c:v>34</c:v>
                </c:pt>
                <c:pt idx="563">
                  <c:v>19</c:v>
                </c:pt>
                <c:pt idx="564">
                  <c:v>0</c:v>
                </c:pt>
                <c:pt idx="565">
                  <c:v>14</c:v>
                </c:pt>
                <c:pt idx="566">
                  <c:v>30</c:v>
                </c:pt>
                <c:pt idx="567">
                  <c:v>32</c:v>
                </c:pt>
                <c:pt idx="568">
                  <c:v>29</c:v>
                </c:pt>
                <c:pt idx="569">
                  <c:v>30</c:v>
                </c:pt>
                <c:pt idx="570">
                  <c:v>0</c:v>
                </c:pt>
                <c:pt idx="571">
                  <c:v>0</c:v>
                </c:pt>
                <c:pt idx="572">
                  <c:v>31</c:v>
                </c:pt>
                <c:pt idx="573">
                  <c:v>17</c:v>
                </c:pt>
                <c:pt idx="574">
                  <c:v>30</c:v>
                </c:pt>
                <c:pt idx="575">
                  <c:v>47</c:v>
                </c:pt>
                <c:pt idx="576">
                  <c:v>20</c:v>
                </c:pt>
                <c:pt idx="577">
                  <c:v>0</c:v>
                </c:pt>
                <c:pt idx="578">
                  <c:v>0</c:v>
                </c:pt>
                <c:pt idx="579">
                  <c:v>99</c:v>
                </c:pt>
                <c:pt idx="580">
                  <c:v>46</c:v>
                </c:pt>
                <c:pt idx="581">
                  <c:v>27</c:v>
                </c:pt>
                <c:pt idx="582">
                  <c:v>17</c:v>
                </c:pt>
                <c:pt idx="583">
                  <c:v>0</c:v>
                </c:pt>
                <c:pt idx="584">
                  <c:v>24</c:v>
                </c:pt>
                <c:pt idx="585">
                  <c:v>11</c:v>
                </c:pt>
                <c:pt idx="586">
                  <c:v>0</c:v>
                </c:pt>
                <c:pt idx="587">
                  <c:v>0</c:v>
                </c:pt>
                <c:pt idx="588">
                  <c:v>27</c:v>
                </c:pt>
                <c:pt idx="589">
                  <c:v>0</c:v>
                </c:pt>
                <c:pt idx="590">
                  <c:v>40</c:v>
                </c:pt>
                <c:pt idx="591">
                  <c:v>50</c:v>
                </c:pt>
                <c:pt idx="592">
                  <c:v>0</c:v>
                </c:pt>
                <c:pt idx="593">
                  <c:v>22</c:v>
                </c:pt>
                <c:pt idx="594">
                  <c:v>45</c:v>
                </c:pt>
                <c:pt idx="595">
                  <c:v>14</c:v>
                </c:pt>
                <c:pt idx="596">
                  <c:v>0</c:v>
                </c:pt>
                <c:pt idx="597">
                  <c:v>19</c:v>
                </c:pt>
                <c:pt idx="598">
                  <c:v>0</c:v>
                </c:pt>
                <c:pt idx="599">
                  <c:v>18</c:v>
                </c:pt>
                <c:pt idx="600">
                  <c:v>19</c:v>
                </c:pt>
                <c:pt idx="601">
                  <c:v>0</c:v>
                </c:pt>
                <c:pt idx="602">
                  <c:v>36</c:v>
                </c:pt>
                <c:pt idx="603">
                  <c:v>29</c:v>
                </c:pt>
                <c:pt idx="604">
                  <c:v>0</c:v>
                </c:pt>
                <c:pt idx="605">
                  <c:v>32</c:v>
                </c:pt>
                <c:pt idx="606">
                  <c:v>42</c:v>
                </c:pt>
                <c:pt idx="607">
                  <c:v>25</c:v>
                </c:pt>
                <c:pt idx="608">
                  <c:v>39</c:v>
                </c:pt>
                <c:pt idx="609">
                  <c:v>13</c:v>
                </c:pt>
                <c:pt idx="610">
                  <c:v>21</c:v>
                </c:pt>
                <c:pt idx="611">
                  <c:v>22</c:v>
                </c:pt>
                <c:pt idx="612">
                  <c:v>42</c:v>
                </c:pt>
                <c:pt idx="613">
                  <c:v>28</c:v>
                </c:pt>
                <c:pt idx="614">
                  <c:v>26</c:v>
                </c:pt>
                <c:pt idx="615">
                  <c:v>0</c:v>
                </c:pt>
                <c:pt idx="616">
                  <c:v>0</c:v>
                </c:pt>
                <c:pt idx="617">
                  <c:v>13</c:v>
                </c:pt>
                <c:pt idx="618">
                  <c:v>24</c:v>
                </c:pt>
                <c:pt idx="619">
                  <c:v>0</c:v>
                </c:pt>
                <c:pt idx="620">
                  <c:v>42</c:v>
                </c:pt>
                <c:pt idx="621">
                  <c:v>20</c:v>
                </c:pt>
                <c:pt idx="622">
                  <c:v>0</c:v>
                </c:pt>
                <c:pt idx="623">
                  <c:v>27</c:v>
                </c:pt>
                <c:pt idx="624">
                  <c:v>0</c:v>
                </c:pt>
                <c:pt idx="625">
                  <c:v>47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22</c:v>
                </c:pt>
                <c:pt idx="630">
                  <c:v>0</c:v>
                </c:pt>
                <c:pt idx="631">
                  <c:v>40</c:v>
                </c:pt>
                <c:pt idx="632">
                  <c:v>0</c:v>
                </c:pt>
                <c:pt idx="633">
                  <c:v>17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18</c:v>
                </c:pt>
                <c:pt idx="638">
                  <c:v>32</c:v>
                </c:pt>
                <c:pt idx="639">
                  <c:v>12</c:v>
                </c:pt>
                <c:pt idx="640">
                  <c:v>17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30</c:v>
                </c:pt>
                <c:pt idx="645">
                  <c:v>35</c:v>
                </c:pt>
                <c:pt idx="646">
                  <c:v>17</c:v>
                </c:pt>
                <c:pt idx="647">
                  <c:v>36</c:v>
                </c:pt>
                <c:pt idx="648">
                  <c:v>35</c:v>
                </c:pt>
                <c:pt idx="649">
                  <c:v>25</c:v>
                </c:pt>
                <c:pt idx="650">
                  <c:v>25</c:v>
                </c:pt>
                <c:pt idx="651">
                  <c:v>23</c:v>
                </c:pt>
                <c:pt idx="652">
                  <c:v>40</c:v>
                </c:pt>
                <c:pt idx="653">
                  <c:v>0</c:v>
                </c:pt>
                <c:pt idx="654">
                  <c:v>28</c:v>
                </c:pt>
                <c:pt idx="655">
                  <c:v>27</c:v>
                </c:pt>
                <c:pt idx="656">
                  <c:v>35</c:v>
                </c:pt>
                <c:pt idx="657">
                  <c:v>48</c:v>
                </c:pt>
                <c:pt idx="658">
                  <c:v>0</c:v>
                </c:pt>
                <c:pt idx="659">
                  <c:v>31</c:v>
                </c:pt>
                <c:pt idx="660">
                  <c:v>0</c:v>
                </c:pt>
                <c:pt idx="661">
                  <c:v>43</c:v>
                </c:pt>
                <c:pt idx="662">
                  <c:v>46</c:v>
                </c:pt>
                <c:pt idx="663">
                  <c:v>46</c:v>
                </c:pt>
                <c:pt idx="664">
                  <c:v>39</c:v>
                </c:pt>
                <c:pt idx="665">
                  <c:v>45</c:v>
                </c:pt>
                <c:pt idx="666">
                  <c:v>18</c:v>
                </c:pt>
                <c:pt idx="667">
                  <c:v>27</c:v>
                </c:pt>
                <c:pt idx="668">
                  <c:v>33</c:v>
                </c:pt>
                <c:pt idx="669">
                  <c:v>30</c:v>
                </c:pt>
                <c:pt idx="670">
                  <c:v>26</c:v>
                </c:pt>
                <c:pt idx="671">
                  <c:v>10</c:v>
                </c:pt>
                <c:pt idx="672">
                  <c:v>23</c:v>
                </c:pt>
                <c:pt idx="673">
                  <c:v>35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17</c:v>
                </c:pt>
                <c:pt idx="680">
                  <c:v>28</c:v>
                </c:pt>
                <c:pt idx="681">
                  <c:v>36</c:v>
                </c:pt>
                <c:pt idx="682">
                  <c:v>39</c:v>
                </c:pt>
                <c:pt idx="683">
                  <c:v>0</c:v>
                </c:pt>
                <c:pt idx="684">
                  <c:v>0</c:v>
                </c:pt>
                <c:pt idx="685">
                  <c:v>26</c:v>
                </c:pt>
                <c:pt idx="686">
                  <c:v>0</c:v>
                </c:pt>
                <c:pt idx="687">
                  <c:v>19</c:v>
                </c:pt>
                <c:pt idx="688">
                  <c:v>26</c:v>
                </c:pt>
                <c:pt idx="689">
                  <c:v>46</c:v>
                </c:pt>
                <c:pt idx="690">
                  <c:v>0</c:v>
                </c:pt>
                <c:pt idx="691">
                  <c:v>0</c:v>
                </c:pt>
                <c:pt idx="692">
                  <c:v>32</c:v>
                </c:pt>
                <c:pt idx="693">
                  <c:v>49</c:v>
                </c:pt>
                <c:pt idx="694">
                  <c:v>0</c:v>
                </c:pt>
                <c:pt idx="695">
                  <c:v>24</c:v>
                </c:pt>
                <c:pt idx="696">
                  <c:v>19</c:v>
                </c:pt>
                <c:pt idx="697">
                  <c:v>0</c:v>
                </c:pt>
                <c:pt idx="698">
                  <c:v>11</c:v>
                </c:pt>
                <c:pt idx="699">
                  <c:v>0</c:v>
                </c:pt>
                <c:pt idx="700">
                  <c:v>27</c:v>
                </c:pt>
                <c:pt idx="701">
                  <c:v>31</c:v>
                </c:pt>
                <c:pt idx="702">
                  <c:v>29</c:v>
                </c:pt>
                <c:pt idx="703">
                  <c:v>0</c:v>
                </c:pt>
                <c:pt idx="704">
                  <c:v>20</c:v>
                </c:pt>
                <c:pt idx="705">
                  <c:v>36</c:v>
                </c:pt>
                <c:pt idx="706">
                  <c:v>0</c:v>
                </c:pt>
                <c:pt idx="707">
                  <c:v>21</c:v>
                </c:pt>
                <c:pt idx="708">
                  <c:v>0</c:v>
                </c:pt>
                <c:pt idx="709">
                  <c:v>32</c:v>
                </c:pt>
                <c:pt idx="710">
                  <c:v>13</c:v>
                </c:pt>
                <c:pt idx="711">
                  <c:v>27</c:v>
                </c:pt>
                <c:pt idx="712">
                  <c:v>36</c:v>
                </c:pt>
                <c:pt idx="713">
                  <c:v>20</c:v>
                </c:pt>
                <c:pt idx="714">
                  <c:v>0</c:v>
                </c:pt>
                <c:pt idx="715">
                  <c:v>33</c:v>
                </c:pt>
                <c:pt idx="716">
                  <c:v>39</c:v>
                </c:pt>
                <c:pt idx="717">
                  <c:v>18</c:v>
                </c:pt>
                <c:pt idx="718">
                  <c:v>46</c:v>
                </c:pt>
                <c:pt idx="719">
                  <c:v>27</c:v>
                </c:pt>
                <c:pt idx="720">
                  <c:v>19</c:v>
                </c:pt>
                <c:pt idx="721">
                  <c:v>36</c:v>
                </c:pt>
                <c:pt idx="722">
                  <c:v>29</c:v>
                </c:pt>
                <c:pt idx="723">
                  <c:v>30</c:v>
                </c:pt>
                <c:pt idx="724">
                  <c:v>0</c:v>
                </c:pt>
                <c:pt idx="725">
                  <c:v>40</c:v>
                </c:pt>
                <c:pt idx="726">
                  <c:v>29</c:v>
                </c:pt>
                <c:pt idx="727">
                  <c:v>26</c:v>
                </c:pt>
                <c:pt idx="728">
                  <c:v>0</c:v>
                </c:pt>
                <c:pt idx="729">
                  <c:v>0</c:v>
                </c:pt>
                <c:pt idx="730">
                  <c:v>23</c:v>
                </c:pt>
                <c:pt idx="731">
                  <c:v>0</c:v>
                </c:pt>
                <c:pt idx="732">
                  <c:v>37</c:v>
                </c:pt>
                <c:pt idx="733">
                  <c:v>27</c:v>
                </c:pt>
                <c:pt idx="734">
                  <c:v>0</c:v>
                </c:pt>
                <c:pt idx="735">
                  <c:v>32</c:v>
                </c:pt>
                <c:pt idx="736">
                  <c:v>27</c:v>
                </c:pt>
                <c:pt idx="737">
                  <c:v>23</c:v>
                </c:pt>
                <c:pt idx="738">
                  <c:v>17</c:v>
                </c:pt>
                <c:pt idx="739">
                  <c:v>0</c:v>
                </c:pt>
                <c:pt idx="740">
                  <c:v>37</c:v>
                </c:pt>
                <c:pt idx="741">
                  <c:v>20</c:v>
                </c:pt>
                <c:pt idx="742">
                  <c:v>18</c:v>
                </c:pt>
                <c:pt idx="743">
                  <c:v>0</c:v>
                </c:pt>
                <c:pt idx="744">
                  <c:v>37</c:v>
                </c:pt>
                <c:pt idx="745">
                  <c:v>33</c:v>
                </c:pt>
                <c:pt idx="746">
                  <c:v>41</c:v>
                </c:pt>
                <c:pt idx="747">
                  <c:v>41</c:v>
                </c:pt>
                <c:pt idx="748">
                  <c:v>22</c:v>
                </c:pt>
                <c:pt idx="749">
                  <c:v>0</c:v>
                </c:pt>
                <c:pt idx="750">
                  <c:v>0</c:v>
                </c:pt>
                <c:pt idx="751">
                  <c:v>39</c:v>
                </c:pt>
                <c:pt idx="752">
                  <c:v>24</c:v>
                </c:pt>
                <c:pt idx="753">
                  <c:v>44</c:v>
                </c:pt>
                <c:pt idx="754">
                  <c:v>32</c:v>
                </c:pt>
                <c:pt idx="755">
                  <c:v>39</c:v>
                </c:pt>
                <c:pt idx="756">
                  <c:v>41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26</c:v>
                </c:pt>
                <c:pt idx="761">
                  <c:v>31</c:v>
                </c:pt>
                <c:pt idx="762">
                  <c:v>0</c:v>
                </c:pt>
                <c:pt idx="763">
                  <c:v>48</c:v>
                </c:pt>
                <c:pt idx="764">
                  <c:v>27</c:v>
                </c:pt>
                <c:pt idx="765">
                  <c:v>23</c:v>
                </c:pt>
                <c:pt idx="766">
                  <c:v>0</c:v>
                </c:pt>
                <c:pt idx="767">
                  <c:v>31</c:v>
                </c:pt>
              </c:numCache>
            </c:numRef>
          </c:xVal>
          <c:yVal>
            <c:numRef>
              <c:f>pima!$E$2:$E$769</c:f>
              <c:numCache>
                <c:formatCode>General</c:formatCode>
                <c:ptCount val="7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94</c:v>
                </c:pt>
                <c:pt idx="4">
                  <c:v>168</c:v>
                </c:pt>
                <c:pt idx="5">
                  <c:v>0</c:v>
                </c:pt>
                <c:pt idx="6">
                  <c:v>88</c:v>
                </c:pt>
                <c:pt idx="7">
                  <c:v>0</c:v>
                </c:pt>
                <c:pt idx="8">
                  <c:v>543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846</c:v>
                </c:pt>
                <c:pt idx="14">
                  <c:v>175</c:v>
                </c:pt>
                <c:pt idx="15">
                  <c:v>0</c:v>
                </c:pt>
                <c:pt idx="16">
                  <c:v>230</c:v>
                </c:pt>
                <c:pt idx="17">
                  <c:v>0</c:v>
                </c:pt>
                <c:pt idx="18">
                  <c:v>83</c:v>
                </c:pt>
                <c:pt idx="19">
                  <c:v>96</c:v>
                </c:pt>
                <c:pt idx="20">
                  <c:v>235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146</c:v>
                </c:pt>
                <c:pt idx="25">
                  <c:v>115</c:v>
                </c:pt>
                <c:pt idx="26">
                  <c:v>0</c:v>
                </c:pt>
                <c:pt idx="27">
                  <c:v>140</c:v>
                </c:pt>
                <c:pt idx="28">
                  <c:v>110</c:v>
                </c:pt>
                <c:pt idx="29">
                  <c:v>0</c:v>
                </c:pt>
                <c:pt idx="30">
                  <c:v>0</c:v>
                </c:pt>
                <c:pt idx="31">
                  <c:v>245</c:v>
                </c:pt>
                <c:pt idx="32">
                  <c:v>54</c:v>
                </c:pt>
                <c:pt idx="33">
                  <c:v>0</c:v>
                </c:pt>
                <c:pt idx="34">
                  <c:v>0</c:v>
                </c:pt>
                <c:pt idx="35">
                  <c:v>192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207</c:v>
                </c:pt>
                <c:pt idx="40">
                  <c:v>70</c:v>
                </c:pt>
                <c:pt idx="41">
                  <c:v>0</c:v>
                </c:pt>
                <c:pt idx="42">
                  <c:v>0</c:v>
                </c:pt>
                <c:pt idx="43">
                  <c:v>240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82</c:v>
                </c:pt>
                <c:pt idx="51">
                  <c:v>36</c:v>
                </c:pt>
                <c:pt idx="52">
                  <c:v>23</c:v>
                </c:pt>
                <c:pt idx="53">
                  <c:v>300</c:v>
                </c:pt>
                <c:pt idx="54">
                  <c:v>342</c:v>
                </c:pt>
                <c:pt idx="55">
                  <c:v>0</c:v>
                </c:pt>
                <c:pt idx="56">
                  <c:v>304</c:v>
                </c:pt>
                <c:pt idx="57">
                  <c:v>110</c:v>
                </c:pt>
                <c:pt idx="58">
                  <c:v>0</c:v>
                </c:pt>
                <c:pt idx="59">
                  <c:v>142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128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</c:v>
                </c:pt>
                <c:pt idx="69">
                  <c:v>100</c:v>
                </c:pt>
                <c:pt idx="70">
                  <c:v>90</c:v>
                </c:pt>
                <c:pt idx="71">
                  <c:v>140</c:v>
                </c:pt>
                <c:pt idx="72">
                  <c:v>0</c:v>
                </c:pt>
                <c:pt idx="73">
                  <c:v>270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71</c:v>
                </c:pt>
                <c:pt idx="83">
                  <c:v>0</c:v>
                </c:pt>
                <c:pt idx="84">
                  <c:v>0</c:v>
                </c:pt>
                <c:pt idx="85">
                  <c:v>125</c:v>
                </c:pt>
                <c:pt idx="86">
                  <c:v>0</c:v>
                </c:pt>
                <c:pt idx="87">
                  <c:v>71</c:v>
                </c:pt>
                <c:pt idx="88">
                  <c:v>110</c:v>
                </c:pt>
                <c:pt idx="89">
                  <c:v>0</c:v>
                </c:pt>
                <c:pt idx="90">
                  <c:v>0</c:v>
                </c:pt>
                <c:pt idx="91">
                  <c:v>176</c:v>
                </c:pt>
                <c:pt idx="92">
                  <c:v>48</c:v>
                </c:pt>
                <c:pt idx="93">
                  <c:v>0</c:v>
                </c:pt>
                <c:pt idx="94">
                  <c:v>64</c:v>
                </c:pt>
                <c:pt idx="95">
                  <c:v>228</c:v>
                </c:pt>
                <c:pt idx="96">
                  <c:v>0</c:v>
                </c:pt>
                <c:pt idx="97">
                  <c:v>76</c:v>
                </c:pt>
                <c:pt idx="98">
                  <c:v>64</c:v>
                </c:pt>
                <c:pt idx="99">
                  <c:v>220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40</c:v>
                </c:pt>
                <c:pt idx="104">
                  <c:v>0</c:v>
                </c:pt>
                <c:pt idx="105">
                  <c:v>152</c:v>
                </c:pt>
                <c:pt idx="106">
                  <c:v>0</c:v>
                </c:pt>
                <c:pt idx="107">
                  <c:v>140</c:v>
                </c:pt>
                <c:pt idx="108">
                  <c:v>18</c:v>
                </c:pt>
                <c:pt idx="109">
                  <c:v>36</c:v>
                </c:pt>
                <c:pt idx="110">
                  <c:v>135</c:v>
                </c:pt>
                <c:pt idx="111">
                  <c:v>495</c:v>
                </c:pt>
                <c:pt idx="112">
                  <c:v>37</c:v>
                </c:pt>
                <c:pt idx="113">
                  <c:v>0</c:v>
                </c:pt>
                <c:pt idx="114">
                  <c:v>175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51</c:v>
                </c:pt>
                <c:pt idx="120">
                  <c:v>100</c:v>
                </c:pt>
                <c:pt idx="121">
                  <c:v>0</c:v>
                </c:pt>
                <c:pt idx="122">
                  <c:v>100</c:v>
                </c:pt>
                <c:pt idx="123">
                  <c:v>0</c:v>
                </c:pt>
                <c:pt idx="124">
                  <c:v>0</c:v>
                </c:pt>
                <c:pt idx="125">
                  <c:v>99</c:v>
                </c:pt>
                <c:pt idx="126">
                  <c:v>135</c:v>
                </c:pt>
                <c:pt idx="127">
                  <c:v>94</c:v>
                </c:pt>
                <c:pt idx="128">
                  <c:v>145</c:v>
                </c:pt>
                <c:pt idx="129">
                  <c:v>0</c:v>
                </c:pt>
                <c:pt idx="130">
                  <c:v>168</c:v>
                </c:pt>
                <c:pt idx="131">
                  <c:v>0</c:v>
                </c:pt>
                <c:pt idx="132">
                  <c:v>225</c:v>
                </c:pt>
                <c:pt idx="133">
                  <c:v>0</c:v>
                </c:pt>
                <c:pt idx="134">
                  <c:v>49</c:v>
                </c:pt>
                <c:pt idx="135">
                  <c:v>140</c:v>
                </c:pt>
                <c:pt idx="136">
                  <c:v>50</c:v>
                </c:pt>
                <c:pt idx="137">
                  <c:v>92</c:v>
                </c:pt>
                <c:pt idx="138">
                  <c:v>0</c:v>
                </c:pt>
                <c:pt idx="139">
                  <c:v>325</c:v>
                </c:pt>
                <c:pt idx="140">
                  <c:v>0</c:v>
                </c:pt>
                <c:pt idx="141">
                  <c:v>0</c:v>
                </c:pt>
                <c:pt idx="142">
                  <c:v>63</c:v>
                </c:pt>
                <c:pt idx="143">
                  <c:v>0</c:v>
                </c:pt>
                <c:pt idx="144">
                  <c:v>284</c:v>
                </c:pt>
                <c:pt idx="145">
                  <c:v>0</c:v>
                </c:pt>
                <c:pt idx="146">
                  <c:v>0</c:v>
                </c:pt>
                <c:pt idx="147">
                  <c:v>119</c:v>
                </c:pt>
                <c:pt idx="148">
                  <c:v>0</c:v>
                </c:pt>
                <c:pt idx="149">
                  <c:v>0</c:v>
                </c:pt>
                <c:pt idx="150">
                  <c:v>204</c:v>
                </c:pt>
                <c:pt idx="151">
                  <c:v>0</c:v>
                </c:pt>
                <c:pt idx="152">
                  <c:v>155</c:v>
                </c:pt>
                <c:pt idx="153">
                  <c:v>485</c:v>
                </c:pt>
                <c:pt idx="154">
                  <c:v>0</c:v>
                </c:pt>
                <c:pt idx="155">
                  <c:v>0</c:v>
                </c:pt>
                <c:pt idx="156">
                  <c:v>94</c:v>
                </c:pt>
                <c:pt idx="157">
                  <c:v>135</c:v>
                </c:pt>
                <c:pt idx="158">
                  <c:v>53</c:v>
                </c:pt>
                <c:pt idx="159">
                  <c:v>114</c:v>
                </c:pt>
                <c:pt idx="160">
                  <c:v>0</c:v>
                </c:pt>
                <c:pt idx="161">
                  <c:v>105</c:v>
                </c:pt>
                <c:pt idx="162">
                  <c:v>285</c:v>
                </c:pt>
                <c:pt idx="163">
                  <c:v>0</c:v>
                </c:pt>
                <c:pt idx="164">
                  <c:v>0</c:v>
                </c:pt>
                <c:pt idx="165">
                  <c:v>156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78</c:v>
                </c:pt>
                <c:pt idx="170">
                  <c:v>0</c:v>
                </c:pt>
                <c:pt idx="171">
                  <c:v>130</c:v>
                </c:pt>
                <c:pt idx="172">
                  <c:v>0</c:v>
                </c:pt>
                <c:pt idx="173">
                  <c:v>48</c:v>
                </c:pt>
                <c:pt idx="174">
                  <c:v>55</c:v>
                </c:pt>
                <c:pt idx="175">
                  <c:v>130</c:v>
                </c:pt>
                <c:pt idx="176">
                  <c:v>0</c:v>
                </c:pt>
                <c:pt idx="177">
                  <c:v>130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92</c:v>
                </c:pt>
                <c:pt idx="182">
                  <c:v>23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495</c:v>
                </c:pt>
                <c:pt idx="187">
                  <c:v>58</c:v>
                </c:pt>
                <c:pt idx="188">
                  <c:v>114</c:v>
                </c:pt>
                <c:pt idx="189">
                  <c:v>160</c:v>
                </c:pt>
                <c:pt idx="190">
                  <c:v>0</c:v>
                </c:pt>
                <c:pt idx="191">
                  <c:v>94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210</c:v>
                </c:pt>
                <c:pt idx="196">
                  <c:v>0</c:v>
                </c:pt>
                <c:pt idx="197">
                  <c:v>48</c:v>
                </c:pt>
                <c:pt idx="198">
                  <c:v>99</c:v>
                </c:pt>
                <c:pt idx="199">
                  <c:v>318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44</c:v>
                </c:pt>
                <c:pt idx="204">
                  <c:v>190</c:v>
                </c:pt>
                <c:pt idx="205">
                  <c:v>0</c:v>
                </c:pt>
                <c:pt idx="206">
                  <c:v>280</c:v>
                </c:pt>
                <c:pt idx="207">
                  <c:v>0</c:v>
                </c:pt>
                <c:pt idx="208">
                  <c:v>87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130</c:v>
                </c:pt>
                <c:pt idx="214">
                  <c:v>175</c:v>
                </c:pt>
                <c:pt idx="215">
                  <c:v>271</c:v>
                </c:pt>
                <c:pt idx="216">
                  <c:v>129</c:v>
                </c:pt>
                <c:pt idx="217">
                  <c:v>120</c:v>
                </c:pt>
                <c:pt idx="218">
                  <c:v>0</c:v>
                </c:pt>
                <c:pt idx="219">
                  <c:v>0</c:v>
                </c:pt>
                <c:pt idx="220">
                  <c:v>478</c:v>
                </c:pt>
                <c:pt idx="221">
                  <c:v>0</c:v>
                </c:pt>
                <c:pt idx="222">
                  <c:v>0</c:v>
                </c:pt>
                <c:pt idx="223">
                  <c:v>190</c:v>
                </c:pt>
                <c:pt idx="224">
                  <c:v>56</c:v>
                </c:pt>
                <c:pt idx="225">
                  <c:v>32</c:v>
                </c:pt>
                <c:pt idx="226">
                  <c:v>0</c:v>
                </c:pt>
                <c:pt idx="227">
                  <c:v>0</c:v>
                </c:pt>
                <c:pt idx="228">
                  <c:v>744</c:v>
                </c:pt>
                <c:pt idx="229">
                  <c:v>53</c:v>
                </c:pt>
                <c:pt idx="230">
                  <c:v>0</c:v>
                </c:pt>
                <c:pt idx="231">
                  <c:v>370</c:v>
                </c:pt>
                <c:pt idx="232">
                  <c:v>37</c:v>
                </c:pt>
                <c:pt idx="233">
                  <c:v>0</c:v>
                </c:pt>
                <c:pt idx="234">
                  <c:v>45</c:v>
                </c:pt>
                <c:pt idx="235">
                  <c:v>0</c:v>
                </c:pt>
                <c:pt idx="236">
                  <c:v>192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88</c:v>
                </c:pt>
                <c:pt idx="242">
                  <c:v>0</c:v>
                </c:pt>
                <c:pt idx="243">
                  <c:v>176</c:v>
                </c:pt>
                <c:pt idx="244">
                  <c:v>194</c:v>
                </c:pt>
                <c:pt idx="245">
                  <c:v>0</c:v>
                </c:pt>
                <c:pt idx="246">
                  <c:v>0</c:v>
                </c:pt>
                <c:pt idx="247">
                  <c:v>680</c:v>
                </c:pt>
                <c:pt idx="248">
                  <c:v>402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55</c:v>
                </c:pt>
                <c:pt idx="253">
                  <c:v>0</c:v>
                </c:pt>
                <c:pt idx="254">
                  <c:v>258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375</c:v>
                </c:pt>
                <c:pt idx="259">
                  <c:v>150</c:v>
                </c:pt>
                <c:pt idx="260">
                  <c:v>130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67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56</c:v>
                </c:pt>
                <c:pt idx="272">
                  <c:v>0</c:v>
                </c:pt>
                <c:pt idx="273">
                  <c:v>45</c:v>
                </c:pt>
                <c:pt idx="274">
                  <c:v>0</c:v>
                </c:pt>
                <c:pt idx="275">
                  <c:v>57</c:v>
                </c:pt>
                <c:pt idx="276">
                  <c:v>0</c:v>
                </c:pt>
                <c:pt idx="277">
                  <c:v>116</c:v>
                </c:pt>
                <c:pt idx="278">
                  <c:v>0</c:v>
                </c:pt>
                <c:pt idx="279">
                  <c:v>278</c:v>
                </c:pt>
                <c:pt idx="280">
                  <c:v>0</c:v>
                </c:pt>
                <c:pt idx="281">
                  <c:v>122</c:v>
                </c:pt>
                <c:pt idx="282">
                  <c:v>155</c:v>
                </c:pt>
                <c:pt idx="283">
                  <c:v>0</c:v>
                </c:pt>
                <c:pt idx="284">
                  <c:v>0</c:v>
                </c:pt>
                <c:pt idx="285">
                  <c:v>135</c:v>
                </c:pt>
                <c:pt idx="286">
                  <c:v>545</c:v>
                </c:pt>
                <c:pt idx="287">
                  <c:v>220</c:v>
                </c:pt>
                <c:pt idx="288">
                  <c:v>49</c:v>
                </c:pt>
                <c:pt idx="289">
                  <c:v>75</c:v>
                </c:pt>
                <c:pt idx="290">
                  <c:v>40</c:v>
                </c:pt>
                <c:pt idx="291">
                  <c:v>74</c:v>
                </c:pt>
                <c:pt idx="292">
                  <c:v>182</c:v>
                </c:pt>
                <c:pt idx="293">
                  <c:v>194</c:v>
                </c:pt>
                <c:pt idx="294">
                  <c:v>0</c:v>
                </c:pt>
                <c:pt idx="295">
                  <c:v>120</c:v>
                </c:pt>
                <c:pt idx="296">
                  <c:v>360</c:v>
                </c:pt>
                <c:pt idx="297">
                  <c:v>215</c:v>
                </c:pt>
                <c:pt idx="298">
                  <c:v>184</c:v>
                </c:pt>
                <c:pt idx="299">
                  <c:v>0</c:v>
                </c:pt>
                <c:pt idx="300">
                  <c:v>0</c:v>
                </c:pt>
                <c:pt idx="301">
                  <c:v>135</c:v>
                </c:pt>
                <c:pt idx="302">
                  <c:v>42</c:v>
                </c:pt>
                <c:pt idx="303">
                  <c:v>0</c:v>
                </c:pt>
                <c:pt idx="304">
                  <c:v>0</c:v>
                </c:pt>
                <c:pt idx="305">
                  <c:v>105</c:v>
                </c:pt>
                <c:pt idx="306">
                  <c:v>132</c:v>
                </c:pt>
                <c:pt idx="307">
                  <c:v>148</c:v>
                </c:pt>
                <c:pt idx="308">
                  <c:v>180</c:v>
                </c:pt>
                <c:pt idx="309">
                  <c:v>205</c:v>
                </c:pt>
                <c:pt idx="310">
                  <c:v>0</c:v>
                </c:pt>
                <c:pt idx="311">
                  <c:v>148</c:v>
                </c:pt>
                <c:pt idx="312">
                  <c:v>96</c:v>
                </c:pt>
                <c:pt idx="313">
                  <c:v>85</c:v>
                </c:pt>
                <c:pt idx="314">
                  <c:v>0</c:v>
                </c:pt>
                <c:pt idx="315">
                  <c:v>94</c:v>
                </c:pt>
                <c:pt idx="316">
                  <c:v>64</c:v>
                </c:pt>
                <c:pt idx="317">
                  <c:v>0</c:v>
                </c:pt>
                <c:pt idx="318">
                  <c:v>140</c:v>
                </c:pt>
                <c:pt idx="319">
                  <c:v>0</c:v>
                </c:pt>
                <c:pt idx="320">
                  <c:v>231</c:v>
                </c:pt>
                <c:pt idx="321">
                  <c:v>0</c:v>
                </c:pt>
                <c:pt idx="322">
                  <c:v>0</c:v>
                </c:pt>
                <c:pt idx="323">
                  <c:v>29</c:v>
                </c:pt>
                <c:pt idx="324">
                  <c:v>0</c:v>
                </c:pt>
                <c:pt idx="325">
                  <c:v>168</c:v>
                </c:pt>
                <c:pt idx="326">
                  <c:v>156</c:v>
                </c:pt>
                <c:pt idx="327">
                  <c:v>0</c:v>
                </c:pt>
                <c:pt idx="328">
                  <c:v>120</c:v>
                </c:pt>
                <c:pt idx="329">
                  <c:v>68</c:v>
                </c:pt>
                <c:pt idx="330">
                  <c:v>0</c:v>
                </c:pt>
                <c:pt idx="331">
                  <c:v>52</c:v>
                </c:pt>
                <c:pt idx="332">
                  <c:v>0</c:v>
                </c:pt>
                <c:pt idx="333">
                  <c:v>0</c:v>
                </c:pt>
                <c:pt idx="334">
                  <c:v>58</c:v>
                </c:pt>
                <c:pt idx="335">
                  <c:v>255</c:v>
                </c:pt>
                <c:pt idx="336">
                  <c:v>0</c:v>
                </c:pt>
                <c:pt idx="337">
                  <c:v>0</c:v>
                </c:pt>
                <c:pt idx="338">
                  <c:v>171</c:v>
                </c:pt>
                <c:pt idx="339">
                  <c:v>0</c:v>
                </c:pt>
                <c:pt idx="340">
                  <c:v>105</c:v>
                </c:pt>
                <c:pt idx="341">
                  <c:v>73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108</c:v>
                </c:pt>
                <c:pt idx="346">
                  <c:v>83</c:v>
                </c:pt>
                <c:pt idx="347">
                  <c:v>0</c:v>
                </c:pt>
                <c:pt idx="348">
                  <c:v>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43</c:v>
                </c:pt>
                <c:pt idx="354">
                  <c:v>0</c:v>
                </c:pt>
                <c:pt idx="355">
                  <c:v>0</c:v>
                </c:pt>
                <c:pt idx="356">
                  <c:v>167</c:v>
                </c:pt>
                <c:pt idx="357">
                  <c:v>0</c:v>
                </c:pt>
                <c:pt idx="358">
                  <c:v>54</c:v>
                </c:pt>
                <c:pt idx="359">
                  <c:v>249</c:v>
                </c:pt>
                <c:pt idx="360">
                  <c:v>325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293</c:v>
                </c:pt>
                <c:pt idx="365">
                  <c:v>83</c:v>
                </c:pt>
                <c:pt idx="366">
                  <c:v>0</c:v>
                </c:pt>
                <c:pt idx="367">
                  <c:v>0</c:v>
                </c:pt>
                <c:pt idx="368">
                  <c:v>66</c:v>
                </c:pt>
                <c:pt idx="369">
                  <c:v>140</c:v>
                </c:pt>
                <c:pt idx="370">
                  <c:v>465</c:v>
                </c:pt>
                <c:pt idx="371">
                  <c:v>89</c:v>
                </c:pt>
                <c:pt idx="372">
                  <c:v>66</c:v>
                </c:pt>
                <c:pt idx="373">
                  <c:v>94</c:v>
                </c:pt>
                <c:pt idx="374">
                  <c:v>158</c:v>
                </c:pt>
                <c:pt idx="375">
                  <c:v>325</c:v>
                </c:pt>
                <c:pt idx="376">
                  <c:v>84</c:v>
                </c:pt>
                <c:pt idx="377">
                  <c:v>75</c:v>
                </c:pt>
                <c:pt idx="378">
                  <c:v>0</c:v>
                </c:pt>
                <c:pt idx="379">
                  <c:v>72</c:v>
                </c:pt>
                <c:pt idx="380">
                  <c:v>82</c:v>
                </c:pt>
                <c:pt idx="381">
                  <c:v>0</c:v>
                </c:pt>
                <c:pt idx="382">
                  <c:v>182</c:v>
                </c:pt>
                <c:pt idx="383">
                  <c:v>59</c:v>
                </c:pt>
                <c:pt idx="384">
                  <c:v>110</c:v>
                </c:pt>
                <c:pt idx="385">
                  <c:v>50</c:v>
                </c:pt>
                <c:pt idx="386">
                  <c:v>0</c:v>
                </c:pt>
                <c:pt idx="387">
                  <c:v>0</c:v>
                </c:pt>
                <c:pt idx="388">
                  <c:v>285</c:v>
                </c:pt>
                <c:pt idx="389">
                  <c:v>81</c:v>
                </c:pt>
                <c:pt idx="390">
                  <c:v>196</c:v>
                </c:pt>
                <c:pt idx="391">
                  <c:v>0</c:v>
                </c:pt>
                <c:pt idx="392">
                  <c:v>415</c:v>
                </c:pt>
                <c:pt idx="393">
                  <c:v>87</c:v>
                </c:pt>
                <c:pt idx="394">
                  <c:v>0</c:v>
                </c:pt>
                <c:pt idx="395">
                  <c:v>275</c:v>
                </c:pt>
                <c:pt idx="396">
                  <c:v>115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88</c:v>
                </c:pt>
                <c:pt idx="403">
                  <c:v>0</c:v>
                </c:pt>
                <c:pt idx="404">
                  <c:v>0</c:v>
                </c:pt>
                <c:pt idx="405">
                  <c:v>165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579</c:v>
                </c:pt>
                <c:pt idx="410">
                  <c:v>0</c:v>
                </c:pt>
                <c:pt idx="411">
                  <c:v>176</c:v>
                </c:pt>
                <c:pt idx="412">
                  <c:v>310</c:v>
                </c:pt>
                <c:pt idx="413">
                  <c:v>61</c:v>
                </c:pt>
                <c:pt idx="414">
                  <c:v>167</c:v>
                </c:pt>
                <c:pt idx="415">
                  <c:v>474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115</c:v>
                </c:pt>
                <c:pt idx="420">
                  <c:v>170</c:v>
                </c:pt>
                <c:pt idx="421">
                  <c:v>76</c:v>
                </c:pt>
                <c:pt idx="422">
                  <c:v>78</c:v>
                </c:pt>
                <c:pt idx="423">
                  <c:v>0</c:v>
                </c:pt>
                <c:pt idx="424">
                  <c:v>210</c:v>
                </c:pt>
                <c:pt idx="425">
                  <c:v>277</c:v>
                </c:pt>
                <c:pt idx="426">
                  <c:v>0</c:v>
                </c:pt>
                <c:pt idx="427">
                  <c:v>180</c:v>
                </c:pt>
                <c:pt idx="428">
                  <c:v>145</c:v>
                </c:pt>
                <c:pt idx="429">
                  <c:v>180</c:v>
                </c:pt>
                <c:pt idx="430">
                  <c:v>0</c:v>
                </c:pt>
                <c:pt idx="431">
                  <c:v>85</c:v>
                </c:pt>
                <c:pt idx="432">
                  <c:v>60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50</c:v>
                </c:pt>
                <c:pt idx="442">
                  <c:v>120</c:v>
                </c:pt>
                <c:pt idx="443">
                  <c:v>0</c:v>
                </c:pt>
                <c:pt idx="444">
                  <c:v>0</c:v>
                </c:pt>
                <c:pt idx="445">
                  <c:v>14</c:v>
                </c:pt>
                <c:pt idx="446">
                  <c:v>70</c:v>
                </c:pt>
                <c:pt idx="447">
                  <c:v>92</c:v>
                </c:pt>
                <c:pt idx="448">
                  <c:v>64</c:v>
                </c:pt>
                <c:pt idx="449">
                  <c:v>63</c:v>
                </c:pt>
                <c:pt idx="450">
                  <c:v>95</c:v>
                </c:pt>
                <c:pt idx="451">
                  <c:v>0</c:v>
                </c:pt>
                <c:pt idx="452">
                  <c:v>210</c:v>
                </c:pt>
                <c:pt idx="453">
                  <c:v>0</c:v>
                </c:pt>
                <c:pt idx="454">
                  <c:v>105</c:v>
                </c:pt>
                <c:pt idx="455">
                  <c:v>0</c:v>
                </c:pt>
                <c:pt idx="456">
                  <c:v>0</c:v>
                </c:pt>
                <c:pt idx="457">
                  <c:v>71</c:v>
                </c:pt>
                <c:pt idx="458">
                  <c:v>237</c:v>
                </c:pt>
                <c:pt idx="459">
                  <c:v>60</c:v>
                </c:pt>
                <c:pt idx="460">
                  <c:v>56</c:v>
                </c:pt>
                <c:pt idx="461">
                  <c:v>0</c:v>
                </c:pt>
                <c:pt idx="462">
                  <c:v>49</c:v>
                </c:pt>
                <c:pt idx="463">
                  <c:v>0</c:v>
                </c:pt>
                <c:pt idx="464">
                  <c:v>0</c:v>
                </c:pt>
                <c:pt idx="465">
                  <c:v>105</c:v>
                </c:pt>
                <c:pt idx="466">
                  <c:v>36</c:v>
                </c:pt>
                <c:pt idx="467">
                  <c:v>100</c:v>
                </c:pt>
                <c:pt idx="468">
                  <c:v>0</c:v>
                </c:pt>
                <c:pt idx="469">
                  <c:v>140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191</c:v>
                </c:pt>
                <c:pt idx="477">
                  <c:v>110</c:v>
                </c:pt>
                <c:pt idx="478">
                  <c:v>75</c:v>
                </c:pt>
                <c:pt idx="479">
                  <c:v>0</c:v>
                </c:pt>
                <c:pt idx="480">
                  <c:v>328</c:v>
                </c:pt>
                <c:pt idx="481">
                  <c:v>0</c:v>
                </c:pt>
                <c:pt idx="482">
                  <c:v>49</c:v>
                </c:pt>
                <c:pt idx="483">
                  <c:v>125</c:v>
                </c:pt>
                <c:pt idx="484">
                  <c:v>0</c:v>
                </c:pt>
                <c:pt idx="485">
                  <c:v>250</c:v>
                </c:pt>
                <c:pt idx="486">
                  <c:v>480</c:v>
                </c:pt>
                <c:pt idx="487">
                  <c:v>265</c:v>
                </c:pt>
                <c:pt idx="488">
                  <c:v>0</c:v>
                </c:pt>
                <c:pt idx="489">
                  <c:v>0</c:v>
                </c:pt>
                <c:pt idx="490">
                  <c:v>66</c:v>
                </c:pt>
                <c:pt idx="491">
                  <c:v>0</c:v>
                </c:pt>
                <c:pt idx="492">
                  <c:v>0</c:v>
                </c:pt>
                <c:pt idx="493">
                  <c:v>122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76</c:v>
                </c:pt>
                <c:pt idx="498">
                  <c:v>145</c:v>
                </c:pt>
                <c:pt idx="499">
                  <c:v>193</c:v>
                </c:pt>
                <c:pt idx="500">
                  <c:v>71</c:v>
                </c:pt>
                <c:pt idx="501">
                  <c:v>0</c:v>
                </c:pt>
                <c:pt idx="502">
                  <c:v>0</c:v>
                </c:pt>
                <c:pt idx="503">
                  <c:v>79</c:v>
                </c:pt>
                <c:pt idx="504">
                  <c:v>0</c:v>
                </c:pt>
                <c:pt idx="505">
                  <c:v>0</c:v>
                </c:pt>
                <c:pt idx="506">
                  <c:v>90</c:v>
                </c:pt>
                <c:pt idx="507">
                  <c:v>170</c:v>
                </c:pt>
                <c:pt idx="508">
                  <c:v>76</c:v>
                </c:pt>
                <c:pt idx="509">
                  <c:v>0</c:v>
                </c:pt>
                <c:pt idx="510">
                  <c:v>0</c:v>
                </c:pt>
                <c:pt idx="511">
                  <c:v>210</c:v>
                </c:pt>
                <c:pt idx="512">
                  <c:v>0</c:v>
                </c:pt>
                <c:pt idx="513">
                  <c:v>0</c:v>
                </c:pt>
                <c:pt idx="514">
                  <c:v>86</c:v>
                </c:pt>
                <c:pt idx="515">
                  <c:v>105</c:v>
                </c:pt>
                <c:pt idx="516">
                  <c:v>165</c:v>
                </c:pt>
                <c:pt idx="517">
                  <c:v>0</c:v>
                </c:pt>
                <c:pt idx="518">
                  <c:v>0</c:v>
                </c:pt>
                <c:pt idx="519">
                  <c:v>326</c:v>
                </c:pt>
                <c:pt idx="520">
                  <c:v>66</c:v>
                </c:pt>
                <c:pt idx="521">
                  <c:v>130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82</c:v>
                </c:pt>
                <c:pt idx="527">
                  <c:v>105</c:v>
                </c:pt>
                <c:pt idx="528">
                  <c:v>188</c:v>
                </c:pt>
                <c:pt idx="529">
                  <c:v>0</c:v>
                </c:pt>
                <c:pt idx="530">
                  <c:v>106</c:v>
                </c:pt>
                <c:pt idx="531">
                  <c:v>0</c:v>
                </c:pt>
                <c:pt idx="532">
                  <c:v>65</c:v>
                </c:pt>
                <c:pt idx="533">
                  <c:v>0</c:v>
                </c:pt>
                <c:pt idx="534">
                  <c:v>56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210</c:v>
                </c:pt>
                <c:pt idx="539">
                  <c:v>155</c:v>
                </c:pt>
                <c:pt idx="540">
                  <c:v>215</c:v>
                </c:pt>
                <c:pt idx="541">
                  <c:v>190</c:v>
                </c:pt>
                <c:pt idx="542">
                  <c:v>0</c:v>
                </c:pt>
                <c:pt idx="543">
                  <c:v>56</c:v>
                </c:pt>
                <c:pt idx="544">
                  <c:v>76</c:v>
                </c:pt>
                <c:pt idx="545">
                  <c:v>225</c:v>
                </c:pt>
                <c:pt idx="546">
                  <c:v>207</c:v>
                </c:pt>
                <c:pt idx="547">
                  <c:v>166</c:v>
                </c:pt>
                <c:pt idx="548">
                  <c:v>67</c:v>
                </c:pt>
                <c:pt idx="549">
                  <c:v>0</c:v>
                </c:pt>
                <c:pt idx="550">
                  <c:v>0</c:v>
                </c:pt>
                <c:pt idx="551">
                  <c:v>106</c:v>
                </c:pt>
                <c:pt idx="552">
                  <c:v>0</c:v>
                </c:pt>
                <c:pt idx="553">
                  <c:v>44</c:v>
                </c:pt>
                <c:pt idx="554">
                  <c:v>115</c:v>
                </c:pt>
                <c:pt idx="555">
                  <c:v>215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274</c:v>
                </c:pt>
                <c:pt idx="562">
                  <c:v>77</c:v>
                </c:pt>
                <c:pt idx="563">
                  <c:v>54</c:v>
                </c:pt>
                <c:pt idx="564">
                  <c:v>0</c:v>
                </c:pt>
                <c:pt idx="565">
                  <c:v>88</c:v>
                </c:pt>
                <c:pt idx="566">
                  <c:v>18</c:v>
                </c:pt>
                <c:pt idx="567">
                  <c:v>126</c:v>
                </c:pt>
                <c:pt idx="568">
                  <c:v>126</c:v>
                </c:pt>
                <c:pt idx="569">
                  <c:v>165</c:v>
                </c:pt>
                <c:pt idx="570">
                  <c:v>0</c:v>
                </c:pt>
                <c:pt idx="571">
                  <c:v>0</c:v>
                </c:pt>
                <c:pt idx="572">
                  <c:v>44</c:v>
                </c:pt>
                <c:pt idx="573">
                  <c:v>120</c:v>
                </c:pt>
                <c:pt idx="574">
                  <c:v>330</c:v>
                </c:pt>
                <c:pt idx="575">
                  <c:v>63</c:v>
                </c:pt>
                <c:pt idx="576">
                  <c:v>130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600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156</c:v>
                </c:pt>
                <c:pt idx="589">
                  <c:v>0</c:v>
                </c:pt>
                <c:pt idx="590">
                  <c:v>0</c:v>
                </c:pt>
                <c:pt idx="591">
                  <c:v>140</c:v>
                </c:pt>
                <c:pt idx="592">
                  <c:v>0</c:v>
                </c:pt>
                <c:pt idx="593">
                  <c:v>115</c:v>
                </c:pt>
                <c:pt idx="594">
                  <c:v>230</c:v>
                </c:pt>
                <c:pt idx="595">
                  <c:v>185</c:v>
                </c:pt>
                <c:pt idx="596">
                  <c:v>0</c:v>
                </c:pt>
                <c:pt idx="597">
                  <c:v>25</c:v>
                </c:pt>
                <c:pt idx="598">
                  <c:v>0</c:v>
                </c:pt>
                <c:pt idx="599">
                  <c:v>120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126</c:v>
                </c:pt>
                <c:pt idx="604">
                  <c:v>0</c:v>
                </c:pt>
                <c:pt idx="605">
                  <c:v>0</c:v>
                </c:pt>
                <c:pt idx="606">
                  <c:v>293</c:v>
                </c:pt>
                <c:pt idx="607">
                  <c:v>41</c:v>
                </c:pt>
                <c:pt idx="608">
                  <c:v>272</c:v>
                </c:pt>
                <c:pt idx="609">
                  <c:v>182</c:v>
                </c:pt>
                <c:pt idx="610">
                  <c:v>158</c:v>
                </c:pt>
                <c:pt idx="611">
                  <c:v>194</c:v>
                </c:pt>
                <c:pt idx="612">
                  <c:v>321</c:v>
                </c:pt>
                <c:pt idx="613">
                  <c:v>0</c:v>
                </c:pt>
                <c:pt idx="614">
                  <c:v>144</c:v>
                </c:pt>
                <c:pt idx="615">
                  <c:v>0</c:v>
                </c:pt>
                <c:pt idx="616">
                  <c:v>0</c:v>
                </c:pt>
                <c:pt idx="617">
                  <c:v>15</c:v>
                </c:pt>
                <c:pt idx="618">
                  <c:v>0</c:v>
                </c:pt>
                <c:pt idx="619">
                  <c:v>0</c:v>
                </c:pt>
                <c:pt idx="620">
                  <c:v>160</c:v>
                </c:pt>
                <c:pt idx="621">
                  <c:v>0</c:v>
                </c:pt>
                <c:pt idx="622">
                  <c:v>0</c:v>
                </c:pt>
                <c:pt idx="623">
                  <c:v>115</c:v>
                </c:pt>
                <c:pt idx="624">
                  <c:v>0</c:v>
                </c:pt>
                <c:pt idx="625">
                  <c:v>54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90</c:v>
                </c:pt>
                <c:pt idx="632">
                  <c:v>0</c:v>
                </c:pt>
                <c:pt idx="633">
                  <c:v>183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66</c:v>
                </c:pt>
                <c:pt idx="638">
                  <c:v>91</c:v>
                </c:pt>
                <c:pt idx="639">
                  <c:v>46</c:v>
                </c:pt>
                <c:pt idx="640">
                  <c:v>105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152</c:v>
                </c:pt>
                <c:pt idx="645">
                  <c:v>440</c:v>
                </c:pt>
                <c:pt idx="646">
                  <c:v>144</c:v>
                </c:pt>
                <c:pt idx="647">
                  <c:v>159</c:v>
                </c:pt>
                <c:pt idx="648">
                  <c:v>130</c:v>
                </c:pt>
                <c:pt idx="649">
                  <c:v>0</c:v>
                </c:pt>
                <c:pt idx="650">
                  <c:v>100</c:v>
                </c:pt>
                <c:pt idx="651">
                  <c:v>106</c:v>
                </c:pt>
                <c:pt idx="652">
                  <c:v>77</c:v>
                </c:pt>
                <c:pt idx="653">
                  <c:v>0</c:v>
                </c:pt>
                <c:pt idx="654">
                  <c:v>135</c:v>
                </c:pt>
                <c:pt idx="655">
                  <c:v>540</c:v>
                </c:pt>
                <c:pt idx="656">
                  <c:v>90</c:v>
                </c:pt>
                <c:pt idx="657">
                  <c:v>200</c:v>
                </c:pt>
                <c:pt idx="658">
                  <c:v>0</c:v>
                </c:pt>
                <c:pt idx="659">
                  <c:v>70</c:v>
                </c:pt>
                <c:pt idx="660">
                  <c:v>0</c:v>
                </c:pt>
                <c:pt idx="661">
                  <c:v>0</c:v>
                </c:pt>
                <c:pt idx="662">
                  <c:v>231</c:v>
                </c:pt>
                <c:pt idx="663">
                  <c:v>130</c:v>
                </c:pt>
                <c:pt idx="664">
                  <c:v>0</c:v>
                </c:pt>
                <c:pt idx="665">
                  <c:v>132</c:v>
                </c:pt>
                <c:pt idx="666">
                  <c:v>0</c:v>
                </c:pt>
                <c:pt idx="667">
                  <c:v>0</c:v>
                </c:pt>
                <c:pt idx="668">
                  <c:v>190</c:v>
                </c:pt>
                <c:pt idx="669">
                  <c:v>100</c:v>
                </c:pt>
                <c:pt idx="670">
                  <c:v>168</c:v>
                </c:pt>
                <c:pt idx="671">
                  <c:v>0</c:v>
                </c:pt>
                <c:pt idx="672">
                  <c:v>49</c:v>
                </c:pt>
                <c:pt idx="673">
                  <c:v>240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265</c:v>
                </c:pt>
                <c:pt idx="680">
                  <c:v>45</c:v>
                </c:pt>
                <c:pt idx="681">
                  <c:v>0</c:v>
                </c:pt>
                <c:pt idx="682">
                  <c:v>105</c:v>
                </c:pt>
                <c:pt idx="683">
                  <c:v>0</c:v>
                </c:pt>
                <c:pt idx="684">
                  <c:v>0</c:v>
                </c:pt>
                <c:pt idx="685">
                  <c:v>205</c:v>
                </c:pt>
                <c:pt idx="686">
                  <c:v>0</c:v>
                </c:pt>
                <c:pt idx="687">
                  <c:v>0</c:v>
                </c:pt>
                <c:pt idx="688">
                  <c:v>180</c:v>
                </c:pt>
                <c:pt idx="689">
                  <c:v>180</c:v>
                </c:pt>
                <c:pt idx="690">
                  <c:v>0</c:v>
                </c:pt>
                <c:pt idx="691">
                  <c:v>0</c:v>
                </c:pt>
                <c:pt idx="692">
                  <c:v>95</c:v>
                </c:pt>
                <c:pt idx="693">
                  <c:v>125</c:v>
                </c:pt>
                <c:pt idx="694">
                  <c:v>0</c:v>
                </c:pt>
                <c:pt idx="695">
                  <c:v>480</c:v>
                </c:pt>
                <c:pt idx="696">
                  <c:v>125</c:v>
                </c:pt>
                <c:pt idx="697">
                  <c:v>0</c:v>
                </c:pt>
                <c:pt idx="698">
                  <c:v>155</c:v>
                </c:pt>
                <c:pt idx="699">
                  <c:v>0</c:v>
                </c:pt>
                <c:pt idx="700">
                  <c:v>200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100</c:v>
                </c:pt>
                <c:pt idx="705">
                  <c:v>0</c:v>
                </c:pt>
                <c:pt idx="706">
                  <c:v>0</c:v>
                </c:pt>
                <c:pt idx="707">
                  <c:v>335</c:v>
                </c:pt>
                <c:pt idx="708">
                  <c:v>0</c:v>
                </c:pt>
                <c:pt idx="709">
                  <c:v>160</c:v>
                </c:pt>
                <c:pt idx="710">
                  <c:v>387</c:v>
                </c:pt>
                <c:pt idx="711">
                  <c:v>22</c:v>
                </c:pt>
                <c:pt idx="712">
                  <c:v>0</c:v>
                </c:pt>
                <c:pt idx="713">
                  <c:v>291</c:v>
                </c:pt>
                <c:pt idx="714">
                  <c:v>0</c:v>
                </c:pt>
                <c:pt idx="715">
                  <c:v>392</c:v>
                </c:pt>
                <c:pt idx="716">
                  <c:v>185</c:v>
                </c:pt>
                <c:pt idx="717">
                  <c:v>0</c:v>
                </c:pt>
                <c:pt idx="718">
                  <c:v>178</c:v>
                </c:pt>
                <c:pt idx="719">
                  <c:v>0</c:v>
                </c:pt>
                <c:pt idx="720">
                  <c:v>0</c:v>
                </c:pt>
                <c:pt idx="721">
                  <c:v>200</c:v>
                </c:pt>
                <c:pt idx="722">
                  <c:v>127</c:v>
                </c:pt>
                <c:pt idx="723">
                  <c:v>105</c:v>
                </c:pt>
                <c:pt idx="724">
                  <c:v>0</c:v>
                </c:pt>
                <c:pt idx="725">
                  <c:v>0</c:v>
                </c:pt>
                <c:pt idx="726">
                  <c:v>180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79</c:v>
                </c:pt>
                <c:pt idx="731">
                  <c:v>0</c:v>
                </c:pt>
                <c:pt idx="732">
                  <c:v>120</c:v>
                </c:pt>
                <c:pt idx="733">
                  <c:v>165</c:v>
                </c:pt>
                <c:pt idx="734">
                  <c:v>0</c:v>
                </c:pt>
                <c:pt idx="735">
                  <c:v>0</c:v>
                </c:pt>
                <c:pt idx="736">
                  <c:v>120</c:v>
                </c:pt>
                <c:pt idx="737">
                  <c:v>0</c:v>
                </c:pt>
                <c:pt idx="738">
                  <c:v>160</c:v>
                </c:pt>
                <c:pt idx="739">
                  <c:v>0</c:v>
                </c:pt>
                <c:pt idx="740">
                  <c:v>150</c:v>
                </c:pt>
                <c:pt idx="741">
                  <c:v>94</c:v>
                </c:pt>
                <c:pt idx="742">
                  <c:v>116</c:v>
                </c:pt>
                <c:pt idx="743">
                  <c:v>0</c:v>
                </c:pt>
                <c:pt idx="744">
                  <c:v>140</c:v>
                </c:pt>
                <c:pt idx="745">
                  <c:v>105</c:v>
                </c:pt>
                <c:pt idx="746">
                  <c:v>0</c:v>
                </c:pt>
                <c:pt idx="747">
                  <c:v>57</c:v>
                </c:pt>
                <c:pt idx="748">
                  <c:v>200</c:v>
                </c:pt>
                <c:pt idx="749">
                  <c:v>0</c:v>
                </c:pt>
                <c:pt idx="750">
                  <c:v>0</c:v>
                </c:pt>
                <c:pt idx="751">
                  <c:v>74</c:v>
                </c:pt>
                <c:pt idx="752">
                  <c:v>0</c:v>
                </c:pt>
                <c:pt idx="753">
                  <c:v>510</c:v>
                </c:pt>
                <c:pt idx="754">
                  <c:v>0</c:v>
                </c:pt>
                <c:pt idx="755">
                  <c:v>110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16</c:v>
                </c:pt>
                <c:pt idx="761">
                  <c:v>0</c:v>
                </c:pt>
                <c:pt idx="762">
                  <c:v>0</c:v>
                </c:pt>
                <c:pt idx="763">
                  <c:v>180</c:v>
                </c:pt>
                <c:pt idx="764">
                  <c:v>0</c:v>
                </c:pt>
                <c:pt idx="765">
                  <c:v>112</c:v>
                </c:pt>
                <c:pt idx="766">
                  <c:v>0</c:v>
                </c:pt>
                <c:pt idx="7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27-4207-ADED-9889059E7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468911"/>
        <c:axId val="1563480911"/>
      </c:scatterChart>
      <c:valAx>
        <c:axId val="156346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80911"/>
        <c:crosses val="autoZero"/>
        <c:crossBetween val="midCat"/>
      </c:valAx>
      <c:valAx>
        <c:axId val="156348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68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Glucose vs Insulin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pima!$B$2:$B$769</c:f>
              <c:numCache>
                <c:formatCode>General</c:formatCode>
                <c:ptCount val="768"/>
                <c:pt idx="0">
                  <c:v>148</c:v>
                </c:pt>
                <c:pt idx="1">
                  <c:v>85</c:v>
                </c:pt>
                <c:pt idx="2">
                  <c:v>183</c:v>
                </c:pt>
                <c:pt idx="3">
                  <c:v>89</c:v>
                </c:pt>
                <c:pt idx="4">
                  <c:v>137</c:v>
                </c:pt>
                <c:pt idx="5">
                  <c:v>116</c:v>
                </c:pt>
                <c:pt idx="6">
                  <c:v>78</c:v>
                </c:pt>
                <c:pt idx="7">
                  <c:v>115</c:v>
                </c:pt>
                <c:pt idx="8">
                  <c:v>197</c:v>
                </c:pt>
                <c:pt idx="9">
                  <c:v>125</c:v>
                </c:pt>
                <c:pt idx="10">
                  <c:v>110</c:v>
                </c:pt>
                <c:pt idx="11">
                  <c:v>168</c:v>
                </c:pt>
                <c:pt idx="12">
                  <c:v>139</c:v>
                </c:pt>
                <c:pt idx="13">
                  <c:v>189</c:v>
                </c:pt>
                <c:pt idx="14">
                  <c:v>166</c:v>
                </c:pt>
                <c:pt idx="15">
                  <c:v>100</c:v>
                </c:pt>
                <c:pt idx="16">
                  <c:v>118</c:v>
                </c:pt>
                <c:pt idx="17">
                  <c:v>107</c:v>
                </c:pt>
                <c:pt idx="18">
                  <c:v>103</c:v>
                </c:pt>
                <c:pt idx="19">
                  <c:v>115</c:v>
                </c:pt>
                <c:pt idx="20">
                  <c:v>126</c:v>
                </c:pt>
                <c:pt idx="21">
                  <c:v>99</c:v>
                </c:pt>
                <c:pt idx="22">
                  <c:v>196</c:v>
                </c:pt>
                <c:pt idx="23">
                  <c:v>119</c:v>
                </c:pt>
                <c:pt idx="24">
                  <c:v>143</c:v>
                </c:pt>
                <c:pt idx="25">
                  <c:v>125</c:v>
                </c:pt>
                <c:pt idx="26">
                  <c:v>147</c:v>
                </c:pt>
                <c:pt idx="27">
                  <c:v>97</c:v>
                </c:pt>
                <c:pt idx="28">
                  <c:v>145</c:v>
                </c:pt>
                <c:pt idx="29">
                  <c:v>117</c:v>
                </c:pt>
                <c:pt idx="30">
                  <c:v>109</c:v>
                </c:pt>
                <c:pt idx="31">
                  <c:v>158</c:v>
                </c:pt>
                <c:pt idx="32">
                  <c:v>88</c:v>
                </c:pt>
                <c:pt idx="33">
                  <c:v>92</c:v>
                </c:pt>
                <c:pt idx="34">
                  <c:v>122</c:v>
                </c:pt>
                <c:pt idx="35">
                  <c:v>103</c:v>
                </c:pt>
                <c:pt idx="36">
                  <c:v>138</c:v>
                </c:pt>
                <c:pt idx="37">
                  <c:v>102</c:v>
                </c:pt>
                <c:pt idx="38">
                  <c:v>90</c:v>
                </c:pt>
                <c:pt idx="39">
                  <c:v>111</c:v>
                </c:pt>
                <c:pt idx="40">
                  <c:v>180</c:v>
                </c:pt>
                <c:pt idx="41">
                  <c:v>133</c:v>
                </c:pt>
                <c:pt idx="42">
                  <c:v>106</c:v>
                </c:pt>
                <c:pt idx="43">
                  <c:v>171</c:v>
                </c:pt>
                <c:pt idx="44">
                  <c:v>159</c:v>
                </c:pt>
                <c:pt idx="45">
                  <c:v>180</c:v>
                </c:pt>
                <c:pt idx="46">
                  <c:v>146</c:v>
                </c:pt>
                <c:pt idx="47">
                  <c:v>71</c:v>
                </c:pt>
                <c:pt idx="48">
                  <c:v>103</c:v>
                </c:pt>
                <c:pt idx="49">
                  <c:v>105</c:v>
                </c:pt>
                <c:pt idx="50">
                  <c:v>103</c:v>
                </c:pt>
                <c:pt idx="51">
                  <c:v>101</c:v>
                </c:pt>
                <c:pt idx="52">
                  <c:v>88</c:v>
                </c:pt>
                <c:pt idx="53">
                  <c:v>176</c:v>
                </c:pt>
                <c:pt idx="54">
                  <c:v>150</c:v>
                </c:pt>
                <c:pt idx="55">
                  <c:v>73</c:v>
                </c:pt>
                <c:pt idx="56">
                  <c:v>187</c:v>
                </c:pt>
                <c:pt idx="57">
                  <c:v>100</c:v>
                </c:pt>
                <c:pt idx="58">
                  <c:v>146</c:v>
                </c:pt>
                <c:pt idx="59">
                  <c:v>105</c:v>
                </c:pt>
                <c:pt idx="60">
                  <c:v>84</c:v>
                </c:pt>
                <c:pt idx="61">
                  <c:v>133</c:v>
                </c:pt>
                <c:pt idx="62">
                  <c:v>44</c:v>
                </c:pt>
                <c:pt idx="63">
                  <c:v>141</c:v>
                </c:pt>
                <c:pt idx="64">
                  <c:v>114</c:v>
                </c:pt>
                <c:pt idx="65">
                  <c:v>99</c:v>
                </c:pt>
                <c:pt idx="66">
                  <c:v>109</c:v>
                </c:pt>
                <c:pt idx="67">
                  <c:v>109</c:v>
                </c:pt>
                <c:pt idx="68">
                  <c:v>95</c:v>
                </c:pt>
                <c:pt idx="69">
                  <c:v>146</c:v>
                </c:pt>
                <c:pt idx="70">
                  <c:v>100</c:v>
                </c:pt>
                <c:pt idx="71">
                  <c:v>139</c:v>
                </c:pt>
                <c:pt idx="72">
                  <c:v>126</c:v>
                </c:pt>
                <c:pt idx="73">
                  <c:v>129</c:v>
                </c:pt>
                <c:pt idx="74">
                  <c:v>79</c:v>
                </c:pt>
                <c:pt idx="75">
                  <c:v>0</c:v>
                </c:pt>
                <c:pt idx="76">
                  <c:v>62</c:v>
                </c:pt>
                <c:pt idx="77">
                  <c:v>95</c:v>
                </c:pt>
                <c:pt idx="78">
                  <c:v>131</c:v>
                </c:pt>
                <c:pt idx="79">
                  <c:v>112</c:v>
                </c:pt>
                <c:pt idx="80">
                  <c:v>113</c:v>
                </c:pt>
                <c:pt idx="81">
                  <c:v>74</c:v>
                </c:pt>
                <c:pt idx="82">
                  <c:v>83</c:v>
                </c:pt>
                <c:pt idx="83">
                  <c:v>101</c:v>
                </c:pt>
                <c:pt idx="84">
                  <c:v>137</c:v>
                </c:pt>
                <c:pt idx="85">
                  <c:v>110</c:v>
                </c:pt>
                <c:pt idx="86">
                  <c:v>106</c:v>
                </c:pt>
                <c:pt idx="87">
                  <c:v>100</c:v>
                </c:pt>
                <c:pt idx="88">
                  <c:v>136</c:v>
                </c:pt>
                <c:pt idx="89">
                  <c:v>107</c:v>
                </c:pt>
                <c:pt idx="90">
                  <c:v>80</c:v>
                </c:pt>
                <c:pt idx="91">
                  <c:v>123</c:v>
                </c:pt>
                <c:pt idx="92">
                  <c:v>81</c:v>
                </c:pt>
                <c:pt idx="93">
                  <c:v>134</c:v>
                </c:pt>
                <c:pt idx="94">
                  <c:v>142</c:v>
                </c:pt>
                <c:pt idx="95">
                  <c:v>144</c:v>
                </c:pt>
                <c:pt idx="96">
                  <c:v>92</c:v>
                </c:pt>
                <c:pt idx="97">
                  <c:v>71</c:v>
                </c:pt>
                <c:pt idx="98">
                  <c:v>93</c:v>
                </c:pt>
                <c:pt idx="99">
                  <c:v>122</c:v>
                </c:pt>
                <c:pt idx="100">
                  <c:v>163</c:v>
                </c:pt>
                <c:pt idx="101">
                  <c:v>151</c:v>
                </c:pt>
                <c:pt idx="102">
                  <c:v>125</c:v>
                </c:pt>
                <c:pt idx="103">
                  <c:v>81</c:v>
                </c:pt>
                <c:pt idx="104">
                  <c:v>85</c:v>
                </c:pt>
                <c:pt idx="105">
                  <c:v>126</c:v>
                </c:pt>
                <c:pt idx="106">
                  <c:v>96</c:v>
                </c:pt>
                <c:pt idx="107">
                  <c:v>144</c:v>
                </c:pt>
                <c:pt idx="108">
                  <c:v>83</c:v>
                </c:pt>
                <c:pt idx="109">
                  <c:v>95</c:v>
                </c:pt>
                <c:pt idx="110">
                  <c:v>171</c:v>
                </c:pt>
                <c:pt idx="111">
                  <c:v>155</c:v>
                </c:pt>
                <c:pt idx="112">
                  <c:v>89</c:v>
                </c:pt>
                <c:pt idx="113">
                  <c:v>76</c:v>
                </c:pt>
                <c:pt idx="114">
                  <c:v>160</c:v>
                </c:pt>
                <c:pt idx="115">
                  <c:v>146</c:v>
                </c:pt>
                <c:pt idx="116">
                  <c:v>124</c:v>
                </c:pt>
                <c:pt idx="117">
                  <c:v>78</c:v>
                </c:pt>
                <c:pt idx="118">
                  <c:v>97</c:v>
                </c:pt>
                <c:pt idx="119">
                  <c:v>99</c:v>
                </c:pt>
                <c:pt idx="120">
                  <c:v>162</c:v>
                </c:pt>
                <c:pt idx="121">
                  <c:v>111</c:v>
                </c:pt>
                <c:pt idx="122">
                  <c:v>107</c:v>
                </c:pt>
                <c:pt idx="123">
                  <c:v>132</c:v>
                </c:pt>
                <c:pt idx="124">
                  <c:v>113</c:v>
                </c:pt>
                <c:pt idx="125">
                  <c:v>88</c:v>
                </c:pt>
                <c:pt idx="126">
                  <c:v>120</c:v>
                </c:pt>
                <c:pt idx="127">
                  <c:v>118</c:v>
                </c:pt>
                <c:pt idx="128">
                  <c:v>117</c:v>
                </c:pt>
                <c:pt idx="129">
                  <c:v>105</c:v>
                </c:pt>
                <c:pt idx="130">
                  <c:v>173</c:v>
                </c:pt>
                <c:pt idx="131">
                  <c:v>122</c:v>
                </c:pt>
                <c:pt idx="132">
                  <c:v>170</c:v>
                </c:pt>
                <c:pt idx="133">
                  <c:v>84</c:v>
                </c:pt>
                <c:pt idx="134">
                  <c:v>96</c:v>
                </c:pt>
                <c:pt idx="135">
                  <c:v>125</c:v>
                </c:pt>
                <c:pt idx="136">
                  <c:v>100</c:v>
                </c:pt>
                <c:pt idx="137">
                  <c:v>93</c:v>
                </c:pt>
                <c:pt idx="138">
                  <c:v>129</c:v>
                </c:pt>
                <c:pt idx="139">
                  <c:v>105</c:v>
                </c:pt>
                <c:pt idx="140">
                  <c:v>128</c:v>
                </c:pt>
                <c:pt idx="141">
                  <c:v>106</c:v>
                </c:pt>
                <c:pt idx="142">
                  <c:v>108</c:v>
                </c:pt>
                <c:pt idx="143">
                  <c:v>108</c:v>
                </c:pt>
                <c:pt idx="144">
                  <c:v>154</c:v>
                </c:pt>
                <c:pt idx="145">
                  <c:v>102</c:v>
                </c:pt>
                <c:pt idx="146">
                  <c:v>57</c:v>
                </c:pt>
                <c:pt idx="147">
                  <c:v>106</c:v>
                </c:pt>
                <c:pt idx="148">
                  <c:v>147</c:v>
                </c:pt>
                <c:pt idx="149">
                  <c:v>90</c:v>
                </c:pt>
                <c:pt idx="150">
                  <c:v>136</c:v>
                </c:pt>
                <c:pt idx="151">
                  <c:v>114</c:v>
                </c:pt>
                <c:pt idx="152">
                  <c:v>156</c:v>
                </c:pt>
                <c:pt idx="153">
                  <c:v>153</c:v>
                </c:pt>
                <c:pt idx="154">
                  <c:v>188</c:v>
                </c:pt>
                <c:pt idx="155">
                  <c:v>152</c:v>
                </c:pt>
                <c:pt idx="156">
                  <c:v>99</c:v>
                </c:pt>
                <c:pt idx="157">
                  <c:v>109</c:v>
                </c:pt>
                <c:pt idx="158">
                  <c:v>88</c:v>
                </c:pt>
                <c:pt idx="159">
                  <c:v>163</c:v>
                </c:pt>
                <c:pt idx="160">
                  <c:v>151</c:v>
                </c:pt>
                <c:pt idx="161">
                  <c:v>102</c:v>
                </c:pt>
                <c:pt idx="162">
                  <c:v>114</c:v>
                </c:pt>
                <c:pt idx="163">
                  <c:v>100</c:v>
                </c:pt>
                <c:pt idx="164">
                  <c:v>131</c:v>
                </c:pt>
                <c:pt idx="165">
                  <c:v>104</c:v>
                </c:pt>
                <c:pt idx="166">
                  <c:v>148</c:v>
                </c:pt>
                <c:pt idx="167">
                  <c:v>120</c:v>
                </c:pt>
                <c:pt idx="168">
                  <c:v>110</c:v>
                </c:pt>
                <c:pt idx="169">
                  <c:v>111</c:v>
                </c:pt>
                <c:pt idx="170">
                  <c:v>102</c:v>
                </c:pt>
                <c:pt idx="171">
                  <c:v>134</c:v>
                </c:pt>
                <c:pt idx="172">
                  <c:v>87</c:v>
                </c:pt>
                <c:pt idx="173">
                  <c:v>79</c:v>
                </c:pt>
                <c:pt idx="174">
                  <c:v>75</c:v>
                </c:pt>
                <c:pt idx="175">
                  <c:v>179</c:v>
                </c:pt>
                <c:pt idx="176">
                  <c:v>85</c:v>
                </c:pt>
                <c:pt idx="177">
                  <c:v>129</c:v>
                </c:pt>
                <c:pt idx="178">
                  <c:v>143</c:v>
                </c:pt>
                <c:pt idx="179">
                  <c:v>130</c:v>
                </c:pt>
                <c:pt idx="180">
                  <c:v>87</c:v>
                </c:pt>
                <c:pt idx="181">
                  <c:v>119</c:v>
                </c:pt>
                <c:pt idx="182">
                  <c:v>0</c:v>
                </c:pt>
                <c:pt idx="183">
                  <c:v>73</c:v>
                </c:pt>
                <c:pt idx="184">
                  <c:v>141</c:v>
                </c:pt>
                <c:pt idx="185">
                  <c:v>194</c:v>
                </c:pt>
                <c:pt idx="186">
                  <c:v>181</c:v>
                </c:pt>
                <c:pt idx="187">
                  <c:v>128</c:v>
                </c:pt>
                <c:pt idx="188">
                  <c:v>109</c:v>
                </c:pt>
                <c:pt idx="189">
                  <c:v>139</c:v>
                </c:pt>
                <c:pt idx="190">
                  <c:v>111</c:v>
                </c:pt>
                <c:pt idx="191">
                  <c:v>123</c:v>
                </c:pt>
                <c:pt idx="192">
                  <c:v>159</c:v>
                </c:pt>
                <c:pt idx="193">
                  <c:v>135</c:v>
                </c:pt>
                <c:pt idx="194">
                  <c:v>85</c:v>
                </c:pt>
                <c:pt idx="195">
                  <c:v>158</c:v>
                </c:pt>
                <c:pt idx="196">
                  <c:v>105</c:v>
                </c:pt>
                <c:pt idx="197">
                  <c:v>107</c:v>
                </c:pt>
                <c:pt idx="198">
                  <c:v>109</c:v>
                </c:pt>
                <c:pt idx="199">
                  <c:v>148</c:v>
                </c:pt>
                <c:pt idx="200">
                  <c:v>113</c:v>
                </c:pt>
                <c:pt idx="201">
                  <c:v>138</c:v>
                </c:pt>
                <c:pt idx="202">
                  <c:v>108</c:v>
                </c:pt>
                <c:pt idx="203">
                  <c:v>99</c:v>
                </c:pt>
                <c:pt idx="204">
                  <c:v>103</c:v>
                </c:pt>
                <c:pt idx="205">
                  <c:v>111</c:v>
                </c:pt>
                <c:pt idx="206">
                  <c:v>196</c:v>
                </c:pt>
                <c:pt idx="207">
                  <c:v>162</c:v>
                </c:pt>
                <c:pt idx="208">
                  <c:v>96</c:v>
                </c:pt>
                <c:pt idx="209">
                  <c:v>184</c:v>
                </c:pt>
                <c:pt idx="210">
                  <c:v>81</c:v>
                </c:pt>
                <c:pt idx="211">
                  <c:v>147</c:v>
                </c:pt>
                <c:pt idx="212">
                  <c:v>179</c:v>
                </c:pt>
                <c:pt idx="213">
                  <c:v>140</c:v>
                </c:pt>
                <c:pt idx="214">
                  <c:v>112</c:v>
                </c:pt>
                <c:pt idx="215">
                  <c:v>151</c:v>
                </c:pt>
                <c:pt idx="216">
                  <c:v>109</c:v>
                </c:pt>
                <c:pt idx="217">
                  <c:v>125</c:v>
                </c:pt>
                <c:pt idx="218">
                  <c:v>85</c:v>
                </c:pt>
                <c:pt idx="219">
                  <c:v>112</c:v>
                </c:pt>
                <c:pt idx="220">
                  <c:v>177</c:v>
                </c:pt>
                <c:pt idx="221">
                  <c:v>158</c:v>
                </c:pt>
                <c:pt idx="222">
                  <c:v>119</c:v>
                </c:pt>
                <c:pt idx="223">
                  <c:v>142</c:v>
                </c:pt>
                <c:pt idx="224">
                  <c:v>100</c:v>
                </c:pt>
                <c:pt idx="225">
                  <c:v>87</c:v>
                </c:pt>
                <c:pt idx="226">
                  <c:v>101</c:v>
                </c:pt>
                <c:pt idx="227">
                  <c:v>162</c:v>
                </c:pt>
                <c:pt idx="228">
                  <c:v>197</c:v>
                </c:pt>
                <c:pt idx="229">
                  <c:v>117</c:v>
                </c:pt>
                <c:pt idx="230">
                  <c:v>142</c:v>
                </c:pt>
                <c:pt idx="231">
                  <c:v>134</c:v>
                </c:pt>
                <c:pt idx="232">
                  <c:v>79</c:v>
                </c:pt>
                <c:pt idx="233">
                  <c:v>122</c:v>
                </c:pt>
                <c:pt idx="234">
                  <c:v>74</c:v>
                </c:pt>
                <c:pt idx="235">
                  <c:v>171</c:v>
                </c:pt>
                <c:pt idx="236">
                  <c:v>181</c:v>
                </c:pt>
                <c:pt idx="237">
                  <c:v>179</c:v>
                </c:pt>
                <c:pt idx="238">
                  <c:v>164</c:v>
                </c:pt>
                <c:pt idx="239">
                  <c:v>104</c:v>
                </c:pt>
                <c:pt idx="240">
                  <c:v>91</c:v>
                </c:pt>
                <c:pt idx="241">
                  <c:v>91</c:v>
                </c:pt>
                <c:pt idx="242">
                  <c:v>139</c:v>
                </c:pt>
                <c:pt idx="243">
                  <c:v>119</c:v>
                </c:pt>
                <c:pt idx="244">
                  <c:v>146</c:v>
                </c:pt>
                <c:pt idx="245">
                  <c:v>184</c:v>
                </c:pt>
                <c:pt idx="246">
                  <c:v>122</c:v>
                </c:pt>
                <c:pt idx="247">
                  <c:v>165</c:v>
                </c:pt>
                <c:pt idx="248">
                  <c:v>124</c:v>
                </c:pt>
                <c:pt idx="249">
                  <c:v>111</c:v>
                </c:pt>
                <c:pt idx="250">
                  <c:v>106</c:v>
                </c:pt>
                <c:pt idx="251">
                  <c:v>129</c:v>
                </c:pt>
                <c:pt idx="252">
                  <c:v>90</c:v>
                </c:pt>
                <c:pt idx="253">
                  <c:v>86</c:v>
                </c:pt>
                <c:pt idx="254">
                  <c:v>92</c:v>
                </c:pt>
                <c:pt idx="255">
                  <c:v>113</c:v>
                </c:pt>
                <c:pt idx="256">
                  <c:v>111</c:v>
                </c:pt>
                <c:pt idx="257">
                  <c:v>114</c:v>
                </c:pt>
                <c:pt idx="258">
                  <c:v>193</c:v>
                </c:pt>
                <c:pt idx="259">
                  <c:v>155</c:v>
                </c:pt>
                <c:pt idx="260">
                  <c:v>191</c:v>
                </c:pt>
                <c:pt idx="261">
                  <c:v>141</c:v>
                </c:pt>
                <c:pt idx="262">
                  <c:v>95</c:v>
                </c:pt>
                <c:pt idx="263">
                  <c:v>142</c:v>
                </c:pt>
                <c:pt idx="264">
                  <c:v>123</c:v>
                </c:pt>
                <c:pt idx="265">
                  <c:v>96</c:v>
                </c:pt>
                <c:pt idx="266">
                  <c:v>138</c:v>
                </c:pt>
                <c:pt idx="267">
                  <c:v>128</c:v>
                </c:pt>
                <c:pt idx="268">
                  <c:v>102</c:v>
                </c:pt>
                <c:pt idx="269">
                  <c:v>146</c:v>
                </c:pt>
                <c:pt idx="270">
                  <c:v>101</c:v>
                </c:pt>
                <c:pt idx="271">
                  <c:v>108</c:v>
                </c:pt>
                <c:pt idx="272">
                  <c:v>122</c:v>
                </c:pt>
                <c:pt idx="273">
                  <c:v>71</c:v>
                </c:pt>
                <c:pt idx="274">
                  <c:v>106</c:v>
                </c:pt>
                <c:pt idx="275">
                  <c:v>100</c:v>
                </c:pt>
                <c:pt idx="276">
                  <c:v>106</c:v>
                </c:pt>
                <c:pt idx="277">
                  <c:v>104</c:v>
                </c:pt>
                <c:pt idx="278">
                  <c:v>114</c:v>
                </c:pt>
                <c:pt idx="279">
                  <c:v>108</c:v>
                </c:pt>
                <c:pt idx="280">
                  <c:v>146</c:v>
                </c:pt>
                <c:pt idx="281">
                  <c:v>129</c:v>
                </c:pt>
                <c:pt idx="282">
                  <c:v>133</c:v>
                </c:pt>
                <c:pt idx="283">
                  <c:v>161</c:v>
                </c:pt>
                <c:pt idx="284">
                  <c:v>108</c:v>
                </c:pt>
                <c:pt idx="285">
                  <c:v>136</c:v>
                </c:pt>
                <c:pt idx="286">
                  <c:v>155</c:v>
                </c:pt>
                <c:pt idx="287">
                  <c:v>119</c:v>
                </c:pt>
                <c:pt idx="288">
                  <c:v>96</c:v>
                </c:pt>
                <c:pt idx="289">
                  <c:v>108</c:v>
                </c:pt>
                <c:pt idx="290">
                  <c:v>78</c:v>
                </c:pt>
                <c:pt idx="291">
                  <c:v>107</c:v>
                </c:pt>
                <c:pt idx="292">
                  <c:v>128</c:v>
                </c:pt>
                <c:pt idx="293">
                  <c:v>128</c:v>
                </c:pt>
                <c:pt idx="294">
                  <c:v>161</c:v>
                </c:pt>
                <c:pt idx="295">
                  <c:v>151</c:v>
                </c:pt>
                <c:pt idx="296">
                  <c:v>146</c:v>
                </c:pt>
                <c:pt idx="297">
                  <c:v>126</c:v>
                </c:pt>
                <c:pt idx="298">
                  <c:v>100</c:v>
                </c:pt>
                <c:pt idx="299">
                  <c:v>112</c:v>
                </c:pt>
                <c:pt idx="300">
                  <c:v>167</c:v>
                </c:pt>
                <c:pt idx="301">
                  <c:v>144</c:v>
                </c:pt>
                <c:pt idx="302">
                  <c:v>77</c:v>
                </c:pt>
                <c:pt idx="303">
                  <c:v>115</c:v>
                </c:pt>
                <c:pt idx="304">
                  <c:v>150</c:v>
                </c:pt>
                <c:pt idx="305">
                  <c:v>120</c:v>
                </c:pt>
                <c:pt idx="306">
                  <c:v>161</c:v>
                </c:pt>
                <c:pt idx="307">
                  <c:v>137</c:v>
                </c:pt>
                <c:pt idx="308">
                  <c:v>128</c:v>
                </c:pt>
                <c:pt idx="309">
                  <c:v>124</c:v>
                </c:pt>
                <c:pt idx="310">
                  <c:v>80</c:v>
                </c:pt>
                <c:pt idx="311">
                  <c:v>106</c:v>
                </c:pt>
                <c:pt idx="312">
                  <c:v>155</c:v>
                </c:pt>
                <c:pt idx="313">
                  <c:v>113</c:v>
                </c:pt>
                <c:pt idx="314">
                  <c:v>109</c:v>
                </c:pt>
                <c:pt idx="315">
                  <c:v>112</c:v>
                </c:pt>
                <c:pt idx="316">
                  <c:v>99</c:v>
                </c:pt>
                <c:pt idx="317">
                  <c:v>182</c:v>
                </c:pt>
                <c:pt idx="318">
                  <c:v>115</c:v>
                </c:pt>
                <c:pt idx="319">
                  <c:v>194</c:v>
                </c:pt>
                <c:pt idx="320">
                  <c:v>129</c:v>
                </c:pt>
                <c:pt idx="321">
                  <c:v>112</c:v>
                </c:pt>
                <c:pt idx="322">
                  <c:v>124</c:v>
                </c:pt>
                <c:pt idx="323">
                  <c:v>152</c:v>
                </c:pt>
                <c:pt idx="324">
                  <c:v>112</c:v>
                </c:pt>
                <c:pt idx="325">
                  <c:v>157</c:v>
                </c:pt>
                <c:pt idx="326">
                  <c:v>122</c:v>
                </c:pt>
                <c:pt idx="327">
                  <c:v>179</c:v>
                </c:pt>
                <c:pt idx="328">
                  <c:v>102</c:v>
                </c:pt>
                <c:pt idx="329">
                  <c:v>105</c:v>
                </c:pt>
                <c:pt idx="330">
                  <c:v>118</c:v>
                </c:pt>
                <c:pt idx="331">
                  <c:v>87</c:v>
                </c:pt>
                <c:pt idx="332">
                  <c:v>180</c:v>
                </c:pt>
                <c:pt idx="333">
                  <c:v>106</c:v>
                </c:pt>
                <c:pt idx="334">
                  <c:v>95</c:v>
                </c:pt>
                <c:pt idx="335">
                  <c:v>165</c:v>
                </c:pt>
                <c:pt idx="336">
                  <c:v>117</c:v>
                </c:pt>
                <c:pt idx="337">
                  <c:v>115</c:v>
                </c:pt>
                <c:pt idx="338">
                  <c:v>152</c:v>
                </c:pt>
                <c:pt idx="339">
                  <c:v>178</c:v>
                </c:pt>
                <c:pt idx="340">
                  <c:v>130</c:v>
                </c:pt>
                <c:pt idx="341">
                  <c:v>95</c:v>
                </c:pt>
                <c:pt idx="342">
                  <c:v>0</c:v>
                </c:pt>
                <c:pt idx="343">
                  <c:v>122</c:v>
                </c:pt>
                <c:pt idx="344">
                  <c:v>95</c:v>
                </c:pt>
                <c:pt idx="345">
                  <c:v>126</c:v>
                </c:pt>
                <c:pt idx="346">
                  <c:v>139</c:v>
                </c:pt>
                <c:pt idx="347">
                  <c:v>116</c:v>
                </c:pt>
                <c:pt idx="348">
                  <c:v>99</c:v>
                </c:pt>
                <c:pt idx="349">
                  <c:v>0</c:v>
                </c:pt>
                <c:pt idx="350">
                  <c:v>92</c:v>
                </c:pt>
                <c:pt idx="351">
                  <c:v>137</c:v>
                </c:pt>
                <c:pt idx="352">
                  <c:v>61</c:v>
                </c:pt>
                <c:pt idx="353">
                  <c:v>90</c:v>
                </c:pt>
                <c:pt idx="354">
                  <c:v>90</c:v>
                </c:pt>
                <c:pt idx="355">
                  <c:v>165</c:v>
                </c:pt>
                <c:pt idx="356">
                  <c:v>125</c:v>
                </c:pt>
                <c:pt idx="357">
                  <c:v>129</c:v>
                </c:pt>
                <c:pt idx="358">
                  <c:v>88</c:v>
                </c:pt>
                <c:pt idx="359">
                  <c:v>196</c:v>
                </c:pt>
                <c:pt idx="360">
                  <c:v>189</c:v>
                </c:pt>
                <c:pt idx="361">
                  <c:v>158</c:v>
                </c:pt>
                <c:pt idx="362">
                  <c:v>103</c:v>
                </c:pt>
                <c:pt idx="363">
                  <c:v>146</c:v>
                </c:pt>
                <c:pt idx="364">
                  <c:v>147</c:v>
                </c:pt>
                <c:pt idx="365">
                  <c:v>99</c:v>
                </c:pt>
                <c:pt idx="366">
                  <c:v>124</c:v>
                </c:pt>
                <c:pt idx="367">
                  <c:v>101</c:v>
                </c:pt>
                <c:pt idx="368">
                  <c:v>81</c:v>
                </c:pt>
                <c:pt idx="369">
                  <c:v>133</c:v>
                </c:pt>
                <c:pt idx="370">
                  <c:v>173</c:v>
                </c:pt>
                <c:pt idx="371">
                  <c:v>118</c:v>
                </c:pt>
                <c:pt idx="372">
                  <c:v>84</c:v>
                </c:pt>
                <c:pt idx="373">
                  <c:v>105</c:v>
                </c:pt>
                <c:pt idx="374">
                  <c:v>122</c:v>
                </c:pt>
                <c:pt idx="375">
                  <c:v>140</c:v>
                </c:pt>
                <c:pt idx="376">
                  <c:v>98</c:v>
                </c:pt>
                <c:pt idx="377">
                  <c:v>87</c:v>
                </c:pt>
                <c:pt idx="378">
                  <c:v>156</c:v>
                </c:pt>
                <c:pt idx="379">
                  <c:v>93</c:v>
                </c:pt>
                <c:pt idx="380">
                  <c:v>107</c:v>
                </c:pt>
                <c:pt idx="381">
                  <c:v>105</c:v>
                </c:pt>
                <c:pt idx="382">
                  <c:v>109</c:v>
                </c:pt>
                <c:pt idx="383">
                  <c:v>90</c:v>
                </c:pt>
                <c:pt idx="384">
                  <c:v>125</c:v>
                </c:pt>
                <c:pt idx="385">
                  <c:v>119</c:v>
                </c:pt>
                <c:pt idx="386">
                  <c:v>116</c:v>
                </c:pt>
                <c:pt idx="387">
                  <c:v>105</c:v>
                </c:pt>
                <c:pt idx="388">
                  <c:v>144</c:v>
                </c:pt>
                <c:pt idx="389">
                  <c:v>100</c:v>
                </c:pt>
                <c:pt idx="390">
                  <c:v>100</c:v>
                </c:pt>
                <c:pt idx="391">
                  <c:v>166</c:v>
                </c:pt>
                <c:pt idx="392">
                  <c:v>131</c:v>
                </c:pt>
                <c:pt idx="393">
                  <c:v>116</c:v>
                </c:pt>
                <c:pt idx="394">
                  <c:v>158</c:v>
                </c:pt>
                <c:pt idx="395">
                  <c:v>127</c:v>
                </c:pt>
                <c:pt idx="396">
                  <c:v>96</c:v>
                </c:pt>
                <c:pt idx="397">
                  <c:v>131</c:v>
                </c:pt>
                <c:pt idx="398">
                  <c:v>82</c:v>
                </c:pt>
                <c:pt idx="399">
                  <c:v>193</c:v>
                </c:pt>
                <c:pt idx="400">
                  <c:v>95</c:v>
                </c:pt>
                <c:pt idx="401">
                  <c:v>137</c:v>
                </c:pt>
                <c:pt idx="402">
                  <c:v>136</c:v>
                </c:pt>
                <c:pt idx="403">
                  <c:v>72</c:v>
                </c:pt>
                <c:pt idx="404">
                  <c:v>168</c:v>
                </c:pt>
                <c:pt idx="405">
                  <c:v>123</c:v>
                </c:pt>
                <c:pt idx="406">
                  <c:v>115</c:v>
                </c:pt>
                <c:pt idx="407">
                  <c:v>101</c:v>
                </c:pt>
                <c:pt idx="408">
                  <c:v>197</c:v>
                </c:pt>
                <c:pt idx="409">
                  <c:v>172</c:v>
                </c:pt>
                <c:pt idx="410">
                  <c:v>102</c:v>
                </c:pt>
                <c:pt idx="411">
                  <c:v>112</c:v>
                </c:pt>
                <c:pt idx="412">
                  <c:v>143</c:v>
                </c:pt>
                <c:pt idx="413">
                  <c:v>143</c:v>
                </c:pt>
                <c:pt idx="414">
                  <c:v>138</c:v>
                </c:pt>
                <c:pt idx="415">
                  <c:v>173</c:v>
                </c:pt>
                <c:pt idx="416">
                  <c:v>97</c:v>
                </c:pt>
                <c:pt idx="417">
                  <c:v>144</c:v>
                </c:pt>
                <c:pt idx="418">
                  <c:v>83</c:v>
                </c:pt>
                <c:pt idx="419">
                  <c:v>129</c:v>
                </c:pt>
                <c:pt idx="420">
                  <c:v>119</c:v>
                </c:pt>
                <c:pt idx="421">
                  <c:v>94</c:v>
                </c:pt>
                <c:pt idx="422">
                  <c:v>102</c:v>
                </c:pt>
                <c:pt idx="423">
                  <c:v>115</c:v>
                </c:pt>
                <c:pt idx="424">
                  <c:v>151</c:v>
                </c:pt>
                <c:pt idx="425">
                  <c:v>184</c:v>
                </c:pt>
                <c:pt idx="426">
                  <c:v>94</c:v>
                </c:pt>
                <c:pt idx="427">
                  <c:v>181</c:v>
                </c:pt>
                <c:pt idx="428">
                  <c:v>135</c:v>
                </c:pt>
                <c:pt idx="429">
                  <c:v>95</c:v>
                </c:pt>
                <c:pt idx="430">
                  <c:v>99</c:v>
                </c:pt>
                <c:pt idx="431">
                  <c:v>89</c:v>
                </c:pt>
                <c:pt idx="432">
                  <c:v>80</c:v>
                </c:pt>
                <c:pt idx="433">
                  <c:v>139</c:v>
                </c:pt>
                <c:pt idx="434">
                  <c:v>90</c:v>
                </c:pt>
                <c:pt idx="435">
                  <c:v>141</c:v>
                </c:pt>
                <c:pt idx="436">
                  <c:v>140</c:v>
                </c:pt>
                <c:pt idx="437">
                  <c:v>147</c:v>
                </c:pt>
                <c:pt idx="438">
                  <c:v>97</c:v>
                </c:pt>
                <c:pt idx="439">
                  <c:v>107</c:v>
                </c:pt>
                <c:pt idx="440">
                  <c:v>189</c:v>
                </c:pt>
                <c:pt idx="441">
                  <c:v>83</c:v>
                </c:pt>
                <c:pt idx="442">
                  <c:v>117</c:v>
                </c:pt>
                <c:pt idx="443">
                  <c:v>108</c:v>
                </c:pt>
                <c:pt idx="444">
                  <c:v>117</c:v>
                </c:pt>
                <c:pt idx="445">
                  <c:v>180</c:v>
                </c:pt>
                <c:pt idx="446">
                  <c:v>100</c:v>
                </c:pt>
                <c:pt idx="447">
                  <c:v>95</c:v>
                </c:pt>
                <c:pt idx="448">
                  <c:v>104</c:v>
                </c:pt>
                <c:pt idx="449">
                  <c:v>120</c:v>
                </c:pt>
                <c:pt idx="450">
                  <c:v>82</c:v>
                </c:pt>
                <c:pt idx="451">
                  <c:v>134</c:v>
                </c:pt>
                <c:pt idx="452">
                  <c:v>91</c:v>
                </c:pt>
                <c:pt idx="453">
                  <c:v>119</c:v>
                </c:pt>
                <c:pt idx="454">
                  <c:v>100</c:v>
                </c:pt>
                <c:pt idx="455">
                  <c:v>175</c:v>
                </c:pt>
                <c:pt idx="456">
                  <c:v>135</c:v>
                </c:pt>
                <c:pt idx="457">
                  <c:v>86</c:v>
                </c:pt>
                <c:pt idx="458">
                  <c:v>148</c:v>
                </c:pt>
                <c:pt idx="459">
                  <c:v>134</c:v>
                </c:pt>
                <c:pt idx="460">
                  <c:v>120</c:v>
                </c:pt>
                <c:pt idx="461">
                  <c:v>71</c:v>
                </c:pt>
                <c:pt idx="462">
                  <c:v>74</c:v>
                </c:pt>
                <c:pt idx="463">
                  <c:v>88</c:v>
                </c:pt>
                <c:pt idx="464">
                  <c:v>115</c:v>
                </c:pt>
                <c:pt idx="465">
                  <c:v>124</c:v>
                </c:pt>
                <c:pt idx="466">
                  <c:v>74</c:v>
                </c:pt>
                <c:pt idx="467">
                  <c:v>97</c:v>
                </c:pt>
                <c:pt idx="468">
                  <c:v>120</c:v>
                </c:pt>
                <c:pt idx="469">
                  <c:v>154</c:v>
                </c:pt>
                <c:pt idx="470">
                  <c:v>144</c:v>
                </c:pt>
                <c:pt idx="471">
                  <c:v>137</c:v>
                </c:pt>
                <c:pt idx="472">
                  <c:v>119</c:v>
                </c:pt>
                <c:pt idx="473">
                  <c:v>136</c:v>
                </c:pt>
                <c:pt idx="474">
                  <c:v>114</c:v>
                </c:pt>
                <c:pt idx="475">
                  <c:v>137</c:v>
                </c:pt>
                <c:pt idx="476">
                  <c:v>105</c:v>
                </c:pt>
                <c:pt idx="477">
                  <c:v>114</c:v>
                </c:pt>
                <c:pt idx="478">
                  <c:v>126</c:v>
                </c:pt>
                <c:pt idx="479">
                  <c:v>132</c:v>
                </c:pt>
                <c:pt idx="480">
                  <c:v>158</c:v>
                </c:pt>
                <c:pt idx="481">
                  <c:v>123</c:v>
                </c:pt>
                <c:pt idx="482">
                  <c:v>85</c:v>
                </c:pt>
                <c:pt idx="483">
                  <c:v>84</c:v>
                </c:pt>
                <c:pt idx="484">
                  <c:v>145</c:v>
                </c:pt>
                <c:pt idx="485">
                  <c:v>135</c:v>
                </c:pt>
                <c:pt idx="486">
                  <c:v>139</c:v>
                </c:pt>
                <c:pt idx="487">
                  <c:v>173</c:v>
                </c:pt>
                <c:pt idx="488">
                  <c:v>99</c:v>
                </c:pt>
                <c:pt idx="489">
                  <c:v>194</c:v>
                </c:pt>
                <c:pt idx="490">
                  <c:v>83</c:v>
                </c:pt>
                <c:pt idx="491">
                  <c:v>89</c:v>
                </c:pt>
                <c:pt idx="492">
                  <c:v>99</c:v>
                </c:pt>
                <c:pt idx="493">
                  <c:v>125</c:v>
                </c:pt>
                <c:pt idx="494">
                  <c:v>80</c:v>
                </c:pt>
                <c:pt idx="495">
                  <c:v>166</c:v>
                </c:pt>
                <c:pt idx="496">
                  <c:v>110</c:v>
                </c:pt>
                <c:pt idx="497">
                  <c:v>81</c:v>
                </c:pt>
                <c:pt idx="498">
                  <c:v>195</c:v>
                </c:pt>
                <c:pt idx="499">
                  <c:v>154</c:v>
                </c:pt>
                <c:pt idx="500">
                  <c:v>117</c:v>
                </c:pt>
                <c:pt idx="501">
                  <c:v>84</c:v>
                </c:pt>
                <c:pt idx="502">
                  <c:v>0</c:v>
                </c:pt>
                <c:pt idx="503">
                  <c:v>94</c:v>
                </c:pt>
                <c:pt idx="504">
                  <c:v>96</c:v>
                </c:pt>
                <c:pt idx="505">
                  <c:v>75</c:v>
                </c:pt>
                <c:pt idx="506">
                  <c:v>180</c:v>
                </c:pt>
                <c:pt idx="507">
                  <c:v>130</c:v>
                </c:pt>
                <c:pt idx="508">
                  <c:v>84</c:v>
                </c:pt>
                <c:pt idx="509">
                  <c:v>120</c:v>
                </c:pt>
                <c:pt idx="510">
                  <c:v>84</c:v>
                </c:pt>
                <c:pt idx="511">
                  <c:v>139</c:v>
                </c:pt>
                <c:pt idx="512">
                  <c:v>91</c:v>
                </c:pt>
                <c:pt idx="513">
                  <c:v>91</c:v>
                </c:pt>
                <c:pt idx="514">
                  <c:v>99</c:v>
                </c:pt>
                <c:pt idx="515">
                  <c:v>163</c:v>
                </c:pt>
                <c:pt idx="516">
                  <c:v>145</c:v>
                </c:pt>
                <c:pt idx="517">
                  <c:v>125</c:v>
                </c:pt>
                <c:pt idx="518">
                  <c:v>76</c:v>
                </c:pt>
                <c:pt idx="519">
                  <c:v>129</c:v>
                </c:pt>
                <c:pt idx="520">
                  <c:v>68</c:v>
                </c:pt>
                <c:pt idx="521">
                  <c:v>124</c:v>
                </c:pt>
                <c:pt idx="522">
                  <c:v>114</c:v>
                </c:pt>
                <c:pt idx="523">
                  <c:v>130</c:v>
                </c:pt>
                <c:pt idx="524">
                  <c:v>125</c:v>
                </c:pt>
                <c:pt idx="525">
                  <c:v>87</c:v>
                </c:pt>
                <c:pt idx="526">
                  <c:v>97</c:v>
                </c:pt>
                <c:pt idx="527">
                  <c:v>116</c:v>
                </c:pt>
                <c:pt idx="528">
                  <c:v>117</c:v>
                </c:pt>
                <c:pt idx="529">
                  <c:v>111</c:v>
                </c:pt>
                <c:pt idx="530">
                  <c:v>122</c:v>
                </c:pt>
                <c:pt idx="531">
                  <c:v>107</c:v>
                </c:pt>
                <c:pt idx="532">
                  <c:v>86</c:v>
                </c:pt>
                <c:pt idx="533">
                  <c:v>91</c:v>
                </c:pt>
                <c:pt idx="534">
                  <c:v>77</c:v>
                </c:pt>
                <c:pt idx="535">
                  <c:v>132</c:v>
                </c:pt>
                <c:pt idx="536">
                  <c:v>105</c:v>
                </c:pt>
                <c:pt idx="537">
                  <c:v>57</c:v>
                </c:pt>
                <c:pt idx="538">
                  <c:v>127</c:v>
                </c:pt>
                <c:pt idx="539">
                  <c:v>129</c:v>
                </c:pt>
                <c:pt idx="540">
                  <c:v>100</c:v>
                </c:pt>
                <c:pt idx="541">
                  <c:v>128</c:v>
                </c:pt>
                <c:pt idx="542">
                  <c:v>90</c:v>
                </c:pt>
                <c:pt idx="543">
                  <c:v>84</c:v>
                </c:pt>
                <c:pt idx="544">
                  <c:v>88</c:v>
                </c:pt>
                <c:pt idx="545">
                  <c:v>186</c:v>
                </c:pt>
                <c:pt idx="546">
                  <c:v>187</c:v>
                </c:pt>
                <c:pt idx="547">
                  <c:v>131</c:v>
                </c:pt>
                <c:pt idx="548">
                  <c:v>164</c:v>
                </c:pt>
                <c:pt idx="549">
                  <c:v>189</c:v>
                </c:pt>
                <c:pt idx="550">
                  <c:v>116</c:v>
                </c:pt>
                <c:pt idx="551">
                  <c:v>84</c:v>
                </c:pt>
                <c:pt idx="552">
                  <c:v>114</c:v>
                </c:pt>
                <c:pt idx="553">
                  <c:v>88</c:v>
                </c:pt>
                <c:pt idx="554">
                  <c:v>84</c:v>
                </c:pt>
                <c:pt idx="555">
                  <c:v>124</c:v>
                </c:pt>
                <c:pt idx="556">
                  <c:v>97</c:v>
                </c:pt>
                <c:pt idx="557">
                  <c:v>110</c:v>
                </c:pt>
                <c:pt idx="558">
                  <c:v>103</c:v>
                </c:pt>
                <c:pt idx="559">
                  <c:v>85</c:v>
                </c:pt>
                <c:pt idx="560">
                  <c:v>125</c:v>
                </c:pt>
                <c:pt idx="561">
                  <c:v>198</c:v>
                </c:pt>
                <c:pt idx="562">
                  <c:v>87</c:v>
                </c:pt>
                <c:pt idx="563">
                  <c:v>99</c:v>
                </c:pt>
                <c:pt idx="564">
                  <c:v>91</c:v>
                </c:pt>
                <c:pt idx="565">
                  <c:v>95</c:v>
                </c:pt>
                <c:pt idx="566">
                  <c:v>99</c:v>
                </c:pt>
                <c:pt idx="567">
                  <c:v>92</c:v>
                </c:pt>
                <c:pt idx="568">
                  <c:v>154</c:v>
                </c:pt>
                <c:pt idx="569">
                  <c:v>121</c:v>
                </c:pt>
                <c:pt idx="570">
                  <c:v>78</c:v>
                </c:pt>
                <c:pt idx="571">
                  <c:v>130</c:v>
                </c:pt>
                <c:pt idx="572">
                  <c:v>111</c:v>
                </c:pt>
                <c:pt idx="573">
                  <c:v>98</c:v>
                </c:pt>
                <c:pt idx="574">
                  <c:v>143</c:v>
                </c:pt>
                <c:pt idx="575">
                  <c:v>119</c:v>
                </c:pt>
                <c:pt idx="576">
                  <c:v>108</c:v>
                </c:pt>
                <c:pt idx="577">
                  <c:v>118</c:v>
                </c:pt>
                <c:pt idx="578">
                  <c:v>133</c:v>
                </c:pt>
                <c:pt idx="579">
                  <c:v>197</c:v>
                </c:pt>
                <c:pt idx="580">
                  <c:v>151</c:v>
                </c:pt>
                <c:pt idx="581">
                  <c:v>109</c:v>
                </c:pt>
                <c:pt idx="582">
                  <c:v>121</c:v>
                </c:pt>
                <c:pt idx="583">
                  <c:v>100</c:v>
                </c:pt>
                <c:pt idx="584">
                  <c:v>124</c:v>
                </c:pt>
                <c:pt idx="585">
                  <c:v>93</c:v>
                </c:pt>
                <c:pt idx="586">
                  <c:v>143</c:v>
                </c:pt>
                <c:pt idx="587">
                  <c:v>103</c:v>
                </c:pt>
                <c:pt idx="588">
                  <c:v>176</c:v>
                </c:pt>
                <c:pt idx="589">
                  <c:v>73</c:v>
                </c:pt>
                <c:pt idx="590">
                  <c:v>111</c:v>
                </c:pt>
                <c:pt idx="591">
                  <c:v>112</c:v>
                </c:pt>
                <c:pt idx="592">
                  <c:v>132</c:v>
                </c:pt>
                <c:pt idx="593">
                  <c:v>82</c:v>
                </c:pt>
                <c:pt idx="594">
                  <c:v>123</c:v>
                </c:pt>
                <c:pt idx="595">
                  <c:v>188</c:v>
                </c:pt>
                <c:pt idx="596">
                  <c:v>67</c:v>
                </c:pt>
                <c:pt idx="597">
                  <c:v>89</c:v>
                </c:pt>
                <c:pt idx="598">
                  <c:v>173</c:v>
                </c:pt>
                <c:pt idx="599">
                  <c:v>109</c:v>
                </c:pt>
                <c:pt idx="600">
                  <c:v>108</c:v>
                </c:pt>
                <c:pt idx="601">
                  <c:v>96</c:v>
                </c:pt>
                <c:pt idx="602">
                  <c:v>124</c:v>
                </c:pt>
                <c:pt idx="603">
                  <c:v>150</c:v>
                </c:pt>
                <c:pt idx="604">
                  <c:v>183</c:v>
                </c:pt>
                <c:pt idx="605">
                  <c:v>124</c:v>
                </c:pt>
                <c:pt idx="606">
                  <c:v>181</c:v>
                </c:pt>
                <c:pt idx="607">
                  <c:v>92</c:v>
                </c:pt>
                <c:pt idx="608">
                  <c:v>152</c:v>
                </c:pt>
                <c:pt idx="609">
                  <c:v>111</c:v>
                </c:pt>
                <c:pt idx="610">
                  <c:v>106</c:v>
                </c:pt>
                <c:pt idx="611">
                  <c:v>174</c:v>
                </c:pt>
                <c:pt idx="612">
                  <c:v>168</c:v>
                </c:pt>
                <c:pt idx="613">
                  <c:v>105</c:v>
                </c:pt>
                <c:pt idx="614">
                  <c:v>138</c:v>
                </c:pt>
                <c:pt idx="615">
                  <c:v>106</c:v>
                </c:pt>
                <c:pt idx="616">
                  <c:v>117</c:v>
                </c:pt>
                <c:pt idx="617">
                  <c:v>68</c:v>
                </c:pt>
                <c:pt idx="618">
                  <c:v>112</c:v>
                </c:pt>
                <c:pt idx="619">
                  <c:v>119</c:v>
                </c:pt>
                <c:pt idx="620">
                  <c:v>112</c:v>
                </c:pt>
                <c:pt idx="621">
                  <c:v>92</c:v>
                </c:pt>
                <c:pt idx="622">
                  <c:v>183</c:v>
                </c:pt>
                <c:pt idx="623">
                  <c:v>94</c:v>
                </c:pt>
                <c:pt idx="624">
                  <c:v>108</c:v>
                </c:pt>
                <c:pt idx="625">
                  <c:v>90</c:v>
                </c:pt>
                <c:pt idx="626">
                  <c:v>125</c:v>
                </c:pt>
                <c:pt idx="627">
                  <c:v>132</c:v>
                </c:pt>
                <c:pt idx="628">
                  <c:v>128</c:v>
                </c:pt>
                <c:pt idx="629">
                  <c:v>94</c:v>
                </c:pt>
                <c:pt idx="630">
                  <c:v>114</c:v>
                </c:pt>
                <c:pt idx="631">
                  <c:v>102</c:v>
                </c:pt>
                <c:pt idx="632">
                  <c:v>111</c:v>
                </c:pt>
                <c:pt idx="633">
                  <c:v>128</c:v>
                </c:pt>
                <c:pt idx="634">
                  <c:v>92</c:v>
                </c:pt>
                <c:pt idx="635">
                  <c:v>104</c:v>
                </c:pt>
                <c:pt idx="636">
                  <c:v>104</c:v>
                </c:pt>
                <c:pt idx="637">
                  <c:v>94</c:v>
                </c:pt>
                <c:pt idx="638">
                  <c:v>97</c:v>
                </c:pt>
                <c:pt idx="639">
                  <c:v>100</c:v>
                </c:pt>
                <c:pt idx="640">
                  <c:v>102</c:v>
                </c:pt>
                <c:pt idx="641">
                  <c:v>128</c:v>
                </c:pt>
                <c:pt idx="642">
                  <c:v>147</c:v>
                </c:pt>
                <c:pt idx="643">
                  <c:v>90</c:v>
                </c:pt>
                <c:pt idx="644">
                  <c:v>103</c:v>
                </c:pt>
                <c:pt idx="645">
                  <c:v>157</c:v>
                </c:pt>
                <c:pt idx="646">
                  <c:v>167</c:v>
                </c:pt>
                <c:pt idx="647">
                  <c:v>179</c:v>
                </c:pt>
                <c:pt idx="648">
                  <c:v>136</c:v>
                </c:pt>
                <c:pt idx="649">
                  <c:v>107</c:v>
                </c:pt>
                <c:pt idx="650">
                  <c:v>91</c:v>
                </c:pt>
                <c:pt idx="651">
                  <c:v>117</c:v>
                </c:pt>
                <c:pt idx="652">
                  <c:v>123</c:v>
                </c:pt>
                <c:pt idx="653">
                  <c:v>120</c:v>
                </c:pt>
                <c:pt idx="654">
                  <c:v>106</c:v>
                </c:pt>
                <c:pt idx="655">
                  <c:v>155</c:v>
                </c:pt>
                <c:pt idx="656">
                  <c:v>101</c:v>
                </c:pt>
                <c:pt idx="657">
                  <c:v>120</c:v>
                </c:pt>
                <c:pt idx="658">
                  <c:v>127</c:v>
                </c:pt>
                <c:pt idx="659">
                  <c:v>80</c:v>
                </c:pt>
                <c:pt idx="660">
                  <c:v>162</c:v>
                </c:pt>
                <c:pt idx="661">
                  <c:v>199</c:v>
                </c:pt>
                <c:pt idx="662">
                  <c:v>167</c:v>
                </c:pt>
                <c:pt idx="663">
                  <c:v>145</c:v>
                </c:pt>
                <c:pt idx="664">
                  <c:v>115</c:v>
                </c:pt>
                <c:pt idx="665">
                  <c:v>112</c:v>
                </c:pt>
                <c:pt idx="666">
                  <c:v>145</c:v>
                </c:pt>
                <c:pt idx="667">
                  <c:v>111</c:v>
                </c:pt>
                <c:pt idx="668">
                  <c:v>98</c:v>
                </c:pt>
                <c:pt idx="669">
                  <c:v>154</c:v>
                </c:pt>
                <c:pt idx="670">
                  <c:v>165</c:v>
                </c:pt>
                <c:pt idx="671">
                  <c:v>99</c:v>
                </c:pt>
                <c:pt idx="672">
                  <c:v>68</c:v>
                </c:pt>
                <c:pt idx="673">
                  <c:v>123</c:v>
                </c:pt>
                <c:pt idx="674">
                  <c:v>91</c:v>
                </c:pt>
                <c:pt idx="675">
                  <c:v>195</c:v>
                </c:pt>
                <c:pt idx="676">
                  <c:v>156</c:v>
                </c:pt>
                <c:pt idx="677">
                  <c:v>93</c:v>
                </c:pt>
                <c:pt idx="678">
                  <c:v>121</c:v>
                </c:pt>
                <c:pt idx="679">
                  <c:v>101</c:v>
                </c:pt>
                <c:pt idx="680">
                  <c:v>56</c:v>
                </c:pt>
                <c:pt idx="681">
                  <c:v>162</c:v>
                </c:pt>
                <c:pt idx="682">
                  <c:v>95</c:v>
                </c:pt>
                <c:pt idx="683">
                  <c:v>125</c:v>
                </c:pt>
                <c:pt idx="684">
                  <c:v>136</c:v>
                </c:pt>
                <c:pt idx="685">
                  <c:v>129</c:v>
                </c:pt>
                <c:pt idx="686">
                  <c:v>130</c:v>
                </c:pt>
                <c:pt idx="687">
                  <c:v>107</c:v>
                </c:pt>
                <c:pt idx="688">
                  <c:v>140</c:v>
                </c:pt>
                <c:pt idx="689">
                  <c:v>144</c:v>
                </c:pt>
                <c:pt idx="690">
                  <c:v>107</c:v>
                </c:pt>
                <c:pt idx="691">
                  <c:v>158</c:v>
                </c:pt>
                <c:pt idx="692">
                  <c:v>121</c:v>
                </c:pt>
                <c:pt idx="693">
                  <c:v>129</c:v>
                </c:pt>
                <c:pt idx="694">
                  <c:v>90</c:v>
                </c:pt>
                <c:pt idx="695">
                  <c:v>142</c:v>
                </c:pt>
                <c:pt idx="696">
                  <c:v>169</c:v>
                </c:pt>
                <c:pt idx="697">
                  <c:v>99</c:v>
                </c:pt>
                <c:pt idx="698">
                  <c:v>127</c:v>
                </c:pt>
                <c:pt idx="699">
                  <c:v>118</c:v>
                </c:pt>
                <c:pt idx="700">
                  <c:v>122</c:v>
                </c:pt>
                <c:pt idx="701">
                  <c:v>125</c:v>
                </c:pt>
                <c:pt idx="702">
                  <c:v>168</c:v>
                </c:pt>
                <c:pt idx="703">
                  <c:v>129</c:v>
                </c:pt>
                <c:pt idx="704">
                  <c:v>110</c:v>
                </c:pt>
                <c:pt idx="705">
                  <c:v>80</c:v>
                </c:pt>
                <c:pt idx="706">
                  <c:v>115</c:v>
                </c:pt>
                <c:pt idx="707">
                  <c:v>127</c:v>
                </c:pt>
                <c:pt idx="708">
                  <c:v>164</c:v>
                </c:pt>
                <c:pt idx="709">
                  <c:v>93</c:v>
                </c:pt>
                <c:pt idx="710">
                  <c:v>158</c:v>
                </c:pt>
                <c:pt idx="711">
                  <c:v>126</c:v>
                </c:pt>
                <c:pt idx="712">
                  <c:v>129</c:v>
                </c:pt>
                <c:pt idx="713">
                  <c:v>134</c:v>
                </c:pt>
                <c:pt idx="714">
                  <c:v>102</c:v>
                </c:pt>
                <c:pt idx="715">
                  <c:v>187</c:v>
                </c:pt>
                <c:pt idx="716">
                  <c:v>173</c:v>
                </c:pt>
                <c:pt idx="717">
                  <c:v>94</c:v>
                </c:pt>
                <c:pt idx="718">
                  <c:v>108</c:v>
                </c:pt>
                <c:pt idx="719">
                  <c:v>97</c:v>
                </c:pt>
                <c:pt idx="720">
                  <c:v>83</c:v>
                </c:pt>
                <c:pt idx="721">
                  <c:v>114</c:v>
                </c:pt>
                <c:pt idx="722">
                  <c:v>149</c:v>
                </c:pt>
                <c:pt idx="723">
                  <c:v>117</c:v>
                </c:pt>
                <c:pt idx="724">
                  <c:v>111</c:v>
                </c:pt>
                <c:pt idx="725">
                  <c:v>112</c:v>
                </c:pt>
                <c:pt idx="726">
                  <c:v>116</c:v>
                </c:pt>
                <c:pt idx="727">
                  <c:v>141</c:v>
                </c:pt>
                <c:pt idx="728">
                  <c:v>175</c:v>
                </c:pt>
                <c:pt idx="729">
                  <c:v>92</c:v>
                </c:pt>
                <c:pt idx="730">
                  <c:v>130</c:v>
                </c:pt>
                <c:pt idx="731">
                  <c:v>120</c:v>
                </c:pt>
                <c:pt idx="732">
                  <c:v>174</c:v>
                </c:pt>
                <c:pt idx="733">
                  <c:v>106</c:v>
                </c:pt>
                <c:pt idx="734">
                  <c:v>105</c:v>
                </c:pt>
                <c:pt idx="735">
                  <c:v>95</c:v>
                </c:pt>
                <c:pt idx="736">
                  <c:v>126</c:v>
                </c:pt>
                <c:pt idx="737">
                  <c:v>65</c:v>
                </c:pt>
                <c:pt idx="738">
                  <c:v>99</c:v>
                </c:pt>
                <c:pt idx="739">
                  <c:v>102</c:v>
                </c:pt>
                <c:pt idx="740">
                  <c:v>120</c:v>
                </c:pt>
                <c:pt idx="741">
                  <c:v>102</c:v>
                </c:pt>
                <c:pt idx="742">
                  <c:v>109</c:v>
                </c:pt>
                <c:pt idx="743">
                  <c:v>140</c:v>
                </c:pt>
                <c:pt idx="744">
                  <c:v>153</c:v>
                </c:pt>
                <c:pt idx="745">
                  <c:v>100</c:v>
                </c:pt>
                <c:pt idx="746">
                  <c:v>147</c:v>
                </c:pt>
                <c:pt idx="747">
                  <c:v>81</c:v>
                </c:pt>
                <c:pt idx="748">
                  <c:v>187</c:v>
                </c:pt>
                <c:pt idx="749">
                  <c:v>162</c:v>
                </c:pt>
                <c:pt idx="750">
                  <c:v>136</c:v>
                </c:pt>
                <c:pt idx="751">
                  <c:v>121</c:v>
                </c:pt>
                <c:pt idx="752">
                  <c:v>108</c:v>
                </c:pt>
                <c:pt idx="753">
                  <c:v>181</c:v>
                </c:pt>
                <c:pt idx="754">
                  <c:v>154</c:v>
                </c:pt>
                <c:pt idx="755">
                  <c:v>128</c:v>
                </c:pt>
                <c:pt idx="756">
                  <c:v>137</c:v>
                </c:pt>
                <c:pt idx="757">
                  <c:v>123</c:v>
                </c:pt>
                <c:pt idx="758">
                  <c:v>106</c:v>
                </c:pt>
                <c:pt idx="759">
                  <c:v>190</c:v>
                </c:pt>
                <c:pt idx="760">
                  <c:v>88</c:v>
                </c:pt>
                <c:pt idx="761">
                  <c:v>170</c:v>
                </c:pt>
                <c:pt idx="762">
                  <c:v>89</c:v>
                </c:pt>
                <c:pt idx="763">
                  <c:v>101</c:v>
                </c:pt>
                <c:pt idx="764">
                  <c:v>122</c:v>
                </c:pt>
                <c:pt idx="765">
                  <c:v>121</c:v>
                </c:pt>
                <c:pt idx="766">
                  <c:v>126</c:v>
                </c:pt>
                <c:pt idx="767">
                  <c:v>93</c:v>
                </c:pt>
              </c:numCache>
            </c:numRef>
          </c:xVal>
          <c:yVal>
            <c:numRef>
              <c:f>pima!$E$2:$E$769</c:f>
              <c:numCache>
                <c:formatCode>General</c:formatCode>
                <c:ptCount val="7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94</c:v>
                </c:pt>
                <c:pt idx="4">
                  <c:v>168</c:v>
                </c:pt>
                <c:pt idx="5">
                  <c:v>0</c:v>
                </c:pt>
                <c:pt idx="6">
                  <c:v>88</c:v>
                </c:pt>
                <c:pt idx="7">
                  <c:v>0</c:v>
                </c:pt>
                <c:pt idx="8">
                  <c:v>543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846</c:v>
                </c:pt>
                <c:pt idx="14">
                  <c:v>175</c:v>
                </c:pt>
                <c:pt idx="15">
                  <c:v>0</c:v>
                </c:pt>
                <c:pt idx="16">
                  <c:v>230</c:v>
                </c:pt>
                <c:pt idx="17">
                  <c:v>0</c:v>
                </c:pt>
                <c:pt idx="18">
                  <c:v>83</c:v>
                </c:pt>
                <c:pt idx="19">
                  <c:v>96</c:v>
                </c:pt>
                <c:pt idx="20">
                  <c:v>235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146</c:v>
                </c:pt>
                <c:pt idx="25">
                  <c:v>115</c:v>
                </c:pt>
                <c:pt idx="26">
                  <c:v>0</c:v>
                </c:pt>
                <c:pt idx="27">
                  <c:v>140</c:v>
                </c:pt>
                <c:pt idx="28">
                  <c:v>110</c:v>
                </c:pt>
                <c:pt idx="29">
                  <c:v>0</c:v>
                </c:pt>
                <c:pt idx="30">
                  <c:v>0</c:v>
                </c:pt>
                <c:pt idx="31">
                  <c:v>245</c:v>
                </c:pt>
                <c:pt idx="32">
                  <c:v>54</c:v>
                </c:pt>
                <c:pt idx="33">
                  <c:v>0</c:v>
                </c:pt>
                <c:pt idx="34">
                  <c:v>0</c:v>
                </c:pt>
                <c:pt idx="35">
                  <c:v>192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207</c:v>
                </c:pt>
                <c:pt idx="40">
                  <c:v>70</c:v>
                </c:pt>
                <c:pt idx="41">
                  <c:v>0</c:v>
                </c:pt>
                <c:pt idx="42">
                  <c:v>0</c:v>
                </c:pt>
                <c:pt idx="43">
                  <c:v>240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82</c:v>
                </c:pt>
                <c:pt idx="51">
                  <c:v>36</c:v>
                </c:pt>
                <c:pt idx="52">
                  <c:v>23</c:v>
                </c:pt>
                <c:pt idx="53">
                  <c:v>300</c:v>
                </c:pt>
                <c:pt idx="54">
                  <c:v>342</c:v>
                </c:pt>
                <c:pt idx="55">
                  <c:v>0</c:v>
                </c:pt>
                <c:pt idx="56">
                  <c:v>304</c:v>
                </c:pt>
                <c:pt idx="57">
                  <c:v>110</c:v>
                </c:pt>
                <c:pt idx="58">
                  <c:v>0</c:v>
                </c:pt>
                <c:pt idx="59">
                  <c:v>142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128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</c:v>
                </c:pt>
                <c:pt idx="69">
                  <c:v>100</c:v>
                </c:pt>
                <c:pt idx="70">
                  <c:v>90</c:v>
                </c:pt>
                <c:pt idx="71">
                  <c:v>140</c:v>
                </c:pt>
                <c:pt idx="72">
                  <c:v>0</c:v>
                </c:pt>
                <c:pt idx="73">
                  <c:v>270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71</c:v>
                </c:pt>
                <c:pt idx="83">
                  <c:v>0</c:v>
                </c:pt>
                <c:pt idx="84">
                  <c:v>0</c:v>
                </c:pt>
                <c:pt idx="85">
                  <c:v>125</c:v>
                </c:pt>
                <c:pt idx="86">
                  <c:v>0</c:v>
                </c:pt>
                <c:pt idx="87">
                  <c:v>71</c:v>
                </c:pt>
                <c:pt idx="88">
                  <c:v>110</c:v>
                </c:pt>
                <c:pt idx="89">
                  <c:v>0</c:v>
                </c:pt>
                <c:pt idx="90">
                  <c:v>0</c:v>
                </c:pt>
                <c:pt idx="91">
                  <c:v>176</c:v>
                </c:pt>
                <c:pt idx="92">
                  <c:v>48</c:v>
                </c:pt>
                <c:pt idx="93">
                  <c:v>0</c:v>
                </c:pt>
                <c:pt idx="94">
                  <c:v>64</c:v>
                </c:pt>
                <c:pt idx="95">
                  <c:v>228</c:v>
                </c:pt>
                <c:pt idx="96">
                  <c:v>0</c:v>
                </c:pt>
                <c:pt idx="97">
                  <c:v>76</c:v>
                </c:pt>
                <c:pt idx="98">
                  <c:v>64</c:v>
                </c:pt>
                <c:pt idx="99">
                  <c:v>220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40</c:v>
                </c:pt>
                <c:pt idx="104">
                  <c:v>0</c:v>
                </c:pt>
                <c:pt idx="105">
                  <c:v>152</c:v>
                </c:pt>
                <c:pt idx="106">
                  <c:v>0</c:v>
                </c:pt>
                <c:pt idx="107">
                  <c:v>140</c:v>
                </c:pt>
                <c:pt idx="108">
                  <c:v>18</c:v>
                </c:pt>
                <c:pt idx="109">
                  <c:v>36</c:v>
                </c:pt>
                <c:pt idx="110">
                  <c:v>135</c:v>
                </c:pt>
                <c:pt idx="111">
                  <c:v>495</c:v>
                </c:pt>
                <c:pt idx="112">
                  <c:v>37</c:v>
                </c:pt>
                <c:pt idx="113">
                  <c:v>0</c:v>
                </c:pt>
                <c:pt idx="114">
                  <c:v>175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51</c:v>
                </c:pt>
                <c:pt idx="120">
                  <c:v>100</c:v>
                </c:pt>
                <c:pt idx="121">
                  <c:v>0</c:v>
                </c:pt>
                <c:pt idx="122">
                  <c:v>100</c:v>
                </c:pt>
                <c:pt idx="123">
                  <c:v>0</c:v>
                </c:pt>
                <c:pt idx="124">
                  <c:v>0</c:v>
                </c:pt>
                <c:pt idx="125">
                  <c:v>99</c:v>
                </c:pt>
                <c:pt idx="126">
                  <c:v>135</c:v>
                </c:pt>
                <c:pt idx="127">
                  <c:v>94</c:v>
                </c:pt>
                <c:pt idx="128">
                  <c:v>145</c:v>
                </c:pt>
                <c:pt idx="129">
                  <c:v>0</c:v>
                </c:pt>
                <c:pt idx="130">
                  <c:v>168</c:v>
                </c:pt>
                <c:pt idx="131">
                  <c:v>0</c:v>
                </c:pt>
                <c:pt idx="132">
                  <c:v>225</c:v>
                </c:pt>
                <c:pt idx="133">
                  <c:v>0</c:v>
                </c:pt>
                <c:pt idx="134">
                  <c:v>49</c:v>
                </c:pt>
                <c:pt idx="135">
                  <c:v>140</c:v>
                </c:pt>
                <c:pt idx="136">
                  <c:v>50</c:v>
                </c:pt>
                <c:pt idx="137">
                  <c:v>92</c:v>
                </c:pt>
                <c:pt idx="138">
                  <c:v>0</c:v>
                </c:pt>
                <c:pt idx="139">
                  <c:v>325</c:v>
                </c:pt>
                <c:pt idx="140">
                  <c:v>0</c:v>
                </c:pt>
                <c:pt idx="141">
                  <c:v>0</c:v>
                </c:pt>
                <c:pt idx="142">
                  <c:v>63</c:v>
                </c:pt>
                <c:pt idx="143">
                  <c:v>0</c:v>
                </c:pt>
                <c:pt idx="144">
                  <c:v>284</c:v>
                </c:pt>
                <c:pt idx="145">
                  <c:v>0</c:v>
                </c:pt>
                <c:pt idx="146">
                  <c:v>0</c:v>
                </c:pt>
                <c:pt idx="147">
                  <c:v>119</c:v>
                </c:pt>
                <c:pt idx="148">
                  <c:v>0</c:v>
                </c:pt>
                <c:pt idx="149">
                  <c:v>0</c:v>
                </c:pt>
                <c:pt idx="150">
                  <c:v>204</c:v>
                </c:pt>
                <c:pt idx="151">
                  <c:v>0</c:v>
                </c:pt>
                <c:pt idx="152">
                  <c:v>155</c:v>
                </c:pt>
                <c:pt idx="153">
                  <c:v>485</c:v>
                </c:pt>
                <c:pt idx="154">
                  <c:v>0</c:v>
                </c:pt>
                <c:pt idx="155">
                  <c:v>0</c:v>
                </c:pt>
                <c:pt idx="156">
                  <c:v>94</c:v>
                </c:pt>
                <c:pt idx="157">
                  <c:v>135</c:v>
                </c:pt>
                <c:pt idx="158">
                  <c:v>53</c:v>
                </c:pt>
                <c:pt idx="159">
                  <c:v>114</c:v>
                </c:pt>
                <c:pt idx="160">
                  <c:v>0</c:v>
                </c:pt>
                <c:pt idx="161">
                  <c:v>105</c:v>
                </c:pt>
                <c:pt idx="162">
                  <c:v>285</c:v>
                </c:pt>
                <c:pt idx="163">
                  <c:v>0</c:v>
                </c:pt>
                <c:pt idx="164">
                  <c:v>0</c:v>
                </c:pt>
                <c:pt idx="165">
                  <c:v>156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78</c:v>
                </c:pt>
                <c:pt idx="170">
                  <c:v>0</c:v>
                </c:pt>
                <c:pt idx="171">
                  <c:v>130</c:v>
                </c:pt>
                <c:pt idx="172">
                  <c:v>0</c:v>
                </c:pt>
                <c:pt idx="173">
                  <c:v>48</c:v>
                </c:pt>
                <c:pt idx="174">
                  <c:v>55</c:v>
                </c:pt>
                <c:pt idx="175">
                  <c:v>130</c:v>
                </c:pt>
                <c:pt idx="176">
                  <c:v>0</c:v>
                </c:pt>
                <c:pt idx="177">
                  <c:v>130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92</c:v>
                </c:pt>
                <c:pt idx="182">
                  <c:v>23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495</c:v>
                </c:pt>
                <c:pt idx="187">
                  <c:v>58</c:v>
                </c:pt>
                <c:pt idx="188">
                  <c:v>114</c:v>
                </c:pt>
                <c:pt idx="189">
                  <c:v>160</c:v>
                </c:pt>
                <c:pt idx="190">
                  <c:v>0</c:v>
                </c:pt>
                <c:pt idx="191">
                  <c:v>94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210</c:v>
                </c:pt>
                <c:pt idx="196">
                  <c:v>0</c:v>
                </c:pt>
                <c:pt idx="197">
                  <c:v>48</c:v>
                </c:pt>
                <c:pt idx="198">
                  <c:v>99</c:v>
                </c:pt>
                <c:pt idx="199">
                  <c:v>318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44</c:v>
                </c:pt>
                <c:pt idx="204">
                  <c:v>190</c:v>
                </c:pt>
                <c:pt idx="205">
                  <c:v>0</c:v>
                </c:pt>
                <c:pt idx="206">
                  <c:v>280</c:v>
                </c:pt>
                <c:pt idx="207">
                  <c:v>0</c:v>
                </c:pt>
                <c:pt idx="208">
                  <c:v>87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130</c:v>
                </c:pt>
                <c:pt idx="214">
                  <c:v>175</c:v>
                </c:pt>
                <c:pt idx="215">
                  <c:v>271</c:v>
                </c:pt>
                <c:pt idx="216">
                  <c:v>129</c:v>
                </c:pt>
                <c:pt idx="217">
                  <c:v>120</c:v>
                </c:pt>
                <c:pt idx="218">
                  <c:v>0</c:v>
                </c:pt>
                <c:pt idx="219">
                  <c:v>0</c:v>
                </c:pt>
                <c:pt idx="220">
                  <c:v>478</c:v>
                </c:pt>
                <c:pt idx="221">
                  <c:v>0</c:v>
                </c:pt>
                <c:pt idx="222">
                  <c:v>0</c:v>
                </c:pt>
                <c:pt idx="223">
                  <c:v>190</c:v>
                </c:pt>
                <c:pt idx="224">
                  <c:v>56</c:v>
                </c:pt>
                <c:pt idx="225">
                  <c:v>32</c:v>
                </c:pt>
                <c:pt idx="226">
                  <c:v>0</c:v>
                </c:pt>
                <c:pt idx="227">
                  <c:v>0</c:v>
                </c:pt>
                <c:pt idx="228">
                  <c:v>744</c:v>
                </c:pt>
                <c:pt idx="229">
                  <c:v>53</c:v>
                </c:pt>
                <c:pt idx="230">
                  <c:v>0</c:v>
                </c:pt>
                <c:pt idx="231">
                  <c:v>370</c:v>
                </c:pt>
                <c:pt idx="232">
                  <c:v>37</c:v>
                </c:pt>
                <c:pt idx="233">
                  <c:v>0</c:v>
                </c:pt>
                <c:pt idx="234">
                  <c:v>45</c:v>
                </c:pt>
                <c:pt idx="235">
                  <c:v>0</c:v>
                </c:pt>
                <c:pt idx="236">
                  <c:v>192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88</c:v>
                </c:pt>
                <c:pt idx="242">
                  <c:v>0</c:v>
                </c:pt>
                <c:pt idx="243">
                  <c:v>176</c:v>
                </c:pt>
                <c:pt idx="244">
                  <c:v>194</c:v>
                </c:pt>
                <c:pt idx="245">
                  <c:v>0</c:v>
                </c:pt>
                <c:pt idx="246">
                  <c:v>0</c:v>
                </c:pt>
                <c:pt idx="247">
                  <c:v>680</c:v>
                </c:pt>
                <c:pt idx="248">
                  <c:v>402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55</c:v>
                </c:pt>
                <c:pt idx="253">
                  <c:v>0</c:v>
                </c:pt>
                <c:pt idx="254">
                  <c:v>258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375</c:v>
                </c:pt>
                <c:pt idx="259">
                  <c:v>150</c:v>
                </c:pt>
                <c:pt idx="260">
                  <c:v>130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67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56</c:v>
                </c:pt>
                <c:pt idx="272">
                  <c:v>0</c:v>
                </c:pt>
                <c:pt idx="273">
                  <c:v>45</c:v>
                </c:pt>
                <c:pt idx="274">
                  <c:v>0</c:v>
                </c:pt>
                <c:pt idx="275">
                  <c:v>57</c:v>
                </c:pt>
                <c:pt idx="276">
                  <c:v>0</c:v>
                </c:pt>
                <c:pt idx="277">
                  <c:v>116</c:v>
                </c:pt>
                <c:pt idx="278">
                  <c:v>0</c:v>
                </c:pt>
                <c:pt idx="279">
                  <c:v>278</c:v>
                </c:pt>
                <c:pt idx="280">
                  <c:v>0</c:v>
                </c:pt>
                <c:pt idx="281">
                  <c:v>122</c:v>
                </c:pt>
                <c:pt idx="282">
                  <c:v>155</c:v>
                </c:pt>
                <c:pt idx="283">
                  <c:v>0</c:v>
                </c:pt>
                <c:pt idx="284">
                  <c:v>0</c:v>
                </c:pt>
                <c:pt idx="285">
                  <c:v>135</c:v>
                </c:pt>
                <c:pt idx="286">
                  <c:v>545</c:v>
                </c:pt>
                <c:pt idx="287">
                  <c:v>220</c:v>
                </c:pt>
                <c:pt idx="288">
                  <c:v>49</c:v>
                </c:pt>
                <c:pt idx="289">
                  <c:v>75</c:v>
                </c:pt>
                <c:pt idx="290">
                  <c:v>40</c:v>
                </c:pt>
                <c:pt idx="291">
                  <c:v>74</c:v>
                </c:pt>
                <c:pt idx="292">
                  <c:v>182</c:v>
                </c:pt>
                <c:pt idx="293">
                  <c:v>194</c:v>
                </c:pt>
                <c:pt idx="294">
                  <c:v>0</c:v>
                </c:pt>
                <c:pt idx="295">
                  <c:v>120</c:v>
                </c:pt>
                <c:pt idx="296">
                  <c:v>360</c:v>
                </c:pt>
                <c:pt idx="297">
                  <c:v>215</c:v>
                </c:pt>
                <c:pt idx="298">
                  <c:v>184</c:v>
                </c:pt>
                <c:pt idx="299">
                  <c:v>0</c:v>
                </c:pt>
                <c:pt idx="300">
                  <c:v>0</c:v>
                </c:pt>
                <c:pt idx="301">
                  <c:v>135</c:v>
                </c:pt>
                <c:pt idx="302">
                  <c:v>42</c:v>
                </c:pt>
                <c:pt idx="303">
                  <c:v>0</c:v>
                </c:pt>
                <c:pt idx="304">
                  <c:v>0</c:v>
                </c:pt>
                <c:pt idx="305">
                  <c:v>105</c:v>
                </c:pt>
                <c:pt idx="306">
                  <c:v>132</c:v>
                </c:pt>
                <c:pt idx="307">
                  <c:v>148</c:v>
                </c:pt>
                <c:pt idx="308">
                  <c:v>180</c:v>
                </c:pt>
                <c:pt idx="309">
                  <c:v>205</c:v>
                </c:pt>
                <c:pt idx="310">
                  <c:v>0</c:v>
                </c:pt>
                <c:pt idx="311">
                  <c:v>148</c:v>
                </c:pt>
                <c:pt idx="312">
                  <c:v>96</c:v>
                </c:pt>
                <c:pt idx="313">
                  <c:v>85</c:v>
                </c:pt>
                <c:pt idx="314">
                  <c:v>0</c:v>
                </c:pt>
                <c:pt idx="315">
                  <c:v>94</c:v>
                </c:pt>
                <c:pt idx="316">
                  <c:v>64</c:v>
                </c:pt>
                <c:pt idx="317">
                  <c:v>0</c:v>
                </c:pt>
                <c:pt idx="318">
                  <c:v>140</c:v>
                </c:pt>
                <c:pt idx="319">
                  <c:v>0</c:v>
                </c:pt>
                <c:pt idx="320">
                  <c:v>231</c:v>
                </c:pt>
                <c:pt idx="321">
                  <c:v>0</c:v>
                </c:pt>
                <c:pt idx="322">
                  <c:v>0</c:v>
                </c:pt>
                <c:pt idx="323">
                  <c:v>29</c:v>
                </c:pt>
                <c:pt idx="324">
                  <c:v>0</c:v>
                </c:pt>
                <c:pt idx="325">
                  <c:v>168</c:v>
                </c:pt>
                <c:pt idx="326">
                  <c:v>156</c:v>
                </c:pt>
                <c:pt idx="327">
                  <c:v>0</c:v>
                </c:pt>
                <c:pt idx="328">
                  <c:v>120</c:v>
                </c:pt>
                <c:pt idx="329">
                  <c:v>68</c:v>
                </c:pt>
                <c:pt idx="330">
                  <c:v>0</c:v>
                </c:pt>
                <c:pt idx="331">
                  <c:v>52</c:v>
                </c:pt>
                <c:pt idx="332">
                  <c:v>0</c:v>
                </c:pt>
                <c:pt idx="333">
                  <c:v>0</c:v>
                </c:pt>
                <c:pt idx="334">
                  <c:v>58</c:v>
                </c:pt>
                <c:pt idx="335">
                  <c:v>255</c:v>
                </c:pt>
                <c:pt idx="336">
                  <c:v>0</c:v>
                </c:pt>
                <c:pt idx="337">
                  <c:v>0</c:v>
                </c:pt>
                <c:pt idx="338">
                  <c:v>171</c:v>
                </c:pt>
                <c:pt idx="339">
                  <c:v>0</c:v>
                </c:pt>
                <c:pt idx="340">
                  <c:v>105</c:v>
                </c:pt>
                <c:pt idx="341">
                  <c:v>73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108</c:v>
                </c:pt>
                <c:pt idx="346">
                  <c:v>83</c:v>
                </c:pt>
                <c:pt idx="347">
                  <c:v>0</c:v>
                </c:pt>
                <c:pt idx="348">
                  <c:v>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43</c:v>
                </c:pt>
                <c:pt idx="354">
                  <c:v>0</c:v>
                </c:pt>
                <c:pt idx="355">
                  <c:v>0</c:v>
                </c:pt>
                <c:pt idx="356">
                  <c:v>167</c:v>
                </c:pt>
                <c:pt idx="357">
                  <c:v>0</c:v>
                </c:pt>
                <c:pt idx="358">
                  <c:v>54</c:v>
                </c:pt>
                <c:pt idx="359">
                  <c:v>249</c:v>
                </c:pt>
                <c:pt idx="360">
                  <c:v>325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293</c:v>
                </c:pt>
                <c:pt idx="365">
                  <c:v>83</c:v>
                </c:pt>
                <c:pt idx="366">
                  <c:v>0</c:v>
                </c:pt>
                <c:pt idx="367">
                  <c:v>0</c:v>
                </c:pt>
                <c:pt idx="368">
                  <c:v>66</c:v>
                </c:pt>
                <c:pt idx="369">
                  <c:v>140</c:v>
                </c:pt>
                <c:pt idx="370">
                  <c:v>465</c:v>
                </c:pt>
                <c:pt idx="371">
                  <c:v>89</c:v>
                </c:pt>
                <c:pt idx="372">
                  <c:v>66</c:v>
                </c:pt>
                <c:pt idx="373">
                  <c:v>94</c:v>
                </c:pt>
                <c:pt idx="374">
                  <c:v>158</c:v>
                </c:pt>
                <c:pt idx="375">
                  <c:v>325</c:v>
                </c:pt>
                <c:pt idx="376">
                  <c:v>84</c:v>
                </c:pt>
                <c:pt idx="377">
                  <c:v>75</c:v>
                </c:pt>
                <c:pt idx="378">
                  <c:v>0</c:v>
                </c:pt>
                <c:pt idx="379">
                  <c:v>72</c:v>
                </c:pt>
                <c:pt idx="380">
                  <c:v>82</c:v>
                </c:pt>
                <c:pt idx="381">
                  <c:v>0</c:v>
                </c:pt>
                <c:pt idx="382">
                  <c:v>182</c:v>
                </c:pt>
                <c:pt idx="383">
                  <c:v>59</c:v>
                </c:pt>
                <c:pt idx="384">
                  <c:v>110</c:v>
                </c:pt>
                <c:pt idx="385">
                  <c:v>50</c:v>
                </c:pt>
                <c:pt idx="386">
                  <c:v>0</c:v>
                </c:pt>
                <c:pt idx="387">
                  <c:v>0</c:v>
                </c:pt>
                <c:pt idx="388">
                  <c:v>285</c:v>
                </c:pt>
                <c:pt idx="389">
                  <c:v>81</c:v>
                </c:pt>
                <c:pt idx="390">
                  <c:v>196</c:v>
                </c:pt>
                <c:pt idx="391">
                  <c:v>0</c:v>
                </c:pt>
                <c:pt idx="392">
                  <c:v>415</c:v>
                </c:pt>
                <c:pt idx="393">
                  <c:v>87</c:v>
                </c:pt>
                <c:pt idx="394">
                  <c:v>0</c:v>
                </c:pt>
                <c:pt idx="395">
                  <c:v>275</c:v>
                </c:pt>
                <c:pt idx="396">
                  <c:v>115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88</c:v>
                </c:pt>
                <c:pt idx="403">
                  <c:v>0</c:v>
                </c:pt>
                <c:pt idx="404">
                  <c:v>0</c:v>
                </c:pt>
                <c:pt idx="405">
                  <c:v>165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579</c:v>
                </c:pt>
                <c:pt idx="410">
                  <c:v>0</c:v>
                </c:pt>
                <c:pt idx="411">
                  <c:v>176</c:v>
                </c:pt>
                <c:pt idx="412">
                  <c:v>310</c:v>
                </c:pt>
                <c:pt idx="413">
                  <c:v>61</c:v>
                </c:pt>
                <c:pt idx="414">
                  <c:v>167</c:v>
                </c:pt>
                <c:pt idx="415">
                  <c:v>474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115</c:v>
                </c:pt>
                <c:pt idx="420">
                  <c:v>170</c:v>
                </c:pt>
                <c:pt idx="421">
                  <c:v>76</c:v>
                </c:pt>
                <c:pt idx="422">
                  <c:v>78</c:v>
                </c:pt>
                <c:pt idx="423">
                  <c:v>0</c:v>
                </c:pt>
                <c:pt idx="424">
                  <c:v>210</c:v>
                </c:pt>
                <c:pt idx="425">
                  <c:v>277</c:v>
                </c:pt>
                <c:pt idx="426">
                  <c:v>0</c:v>
                </c:pt>
                <c:pt idx="427">
                  <c:v>180</c:v>
                </c:pt>
                <c:pt idx="428">
                  <c:v>145</c:v>
                </c:pt>
                <c:pt idx="429">
                  <c:v>180</c:v>
                </c:pt>
                <c:pt idx="430">
                  <c:v>0</c:v>
                </c:pt>
                <c:pt idx="431">
                  <c:v>85</c:v>
                </c:pt>
                <c:pt idx="432">
                  <c:v>60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50</c:v>
                </c:pt>
                <c:pt idx="442">
                  <c:v>120</c:v>
                </c:pt>
                <c:pt idx="443">
                  <c:v>0</c:v>
                </c:pt>
                <c:pt idx="444">
                  <c:v>0</c:v>
                </c:pt>
                <c:pt idx="445">
                  <c:v>14</c:v>
                </c:pt>
                <c:pt idx="446">
                  <c:v>70</c:v>
                </c:pt>
                <c:pt idx="447">
                  <c:v>92</c:v>
                </c:pt>
                <c:pt idx="448">
                  <c:v>64</c:v>
                </c:pt>
                <c:pt idx="449">
                  <c:v>63</c:v>
                </c:pt>
                <c:pt idx="450">
                  <c:v>95</c:v>
                </c:pt>
                <c:pt idx="451">
                  <c:v>0</c:v>
                </c:pt>
                <c:pt idx="452">
                  <c:v>210</c:v>
                </c:pt>
                <c:pt idx="453">
                  <c:v>0</c:v>
                </c:pt>
                <c:pt idx="454">
                  <c:v>105</c:v>
                </c:pt>
                <c:pt idx="455">
                  <c:v>0</c:v>
                </c:pt>
                <c:pt idx="456">
                  <c:v>0</c:v>
                </c:pt>
                <c:pt idx="457">
                  <c:v>71</c:v>
                </c:pt>
                <c:pt idx="458">
                  <c:v>237</c:v>
                </c:pt>
                <c:pt idx="459">
                  <c:v>60</c:v>
                </c:pt>
                <c:pt idx="460">
                  <c:v>56</c:v>
                </c:pt>
                <c:pt idx="461">
                  <c:v>0</c:v>
                </c:pt>
                <c:pt idx="462">
                  <c:v>49</c:v>
                </c:pt>
                <c:pt idx="463">
                  <c:v>0</c:v>
                </c:pt>
                <c:pt idx="464">
                  <c:v>0</c:v>
                </c:pt>
                <c:pt idx="465">
                  <c:v>105</c:v>
                </c:pt>
                <c:pt idx="466">
                  <c:v>36</c:v>
                </c:pt>
                <c:pt idx="467">
                  <c:v>100</c:v>
                </c:pt>
                <c:pt idx="468">
                  <c:v>0</c:v>
                </c:pt>
                <c:pt idx="469">
                  <c:v>140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191</c:v>
                </c:pt>
                <c:pt idx="477">
                  <c:v>110</c:v>
                </c:pt>
                <c:pt idx="478">
                  <c:v>75</c:v>
                </c:pt>
                <c:pt idx="479">
                  <c:v>0</c:v>
                </c:pt>
                <c:pt idx="480">
                  <c:v>328</c:v>
                </c:pt>
                <c:pt idx="481">
                  <c:v>0</c:v>
                </c:pt>
                <c:pt idx="482">
                  <c:v>49</c:v>
                </c:pt>
                <c:pt idx="483">
                  <c:v>125</c:v>
                </c:pt>
                <c:pt idx="484">
                  <c:v>0</c:v>
                </c:pt>
                <c:pt idx="485">
                  <c:v>250</c:v>
                </c:pt>
                <c:pt idx="486">
                  <c:v>480</c:v>
                </c:pt>
                <c:pt idx="487">
                  <c:v>265</c:v>
                </c:pt>
                <c:pt idx="488">
                  <c:v>0</c:v>
                </c:pt>
                <c:pt idx="489">
                  <c:v>0</c:v>
                </c:pt>
                <c:pt idx="490">
                  <c:v>66</c:v>
                </c:pt>
                <c:pt idx="491">
                  <c:v>0</c:v>
                </c:pt>
                <c:pt idx="492">
                  <c:v>0</c:v>
                </c:pt>
                <c:pt idx="493">
                  <c:v>122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76</c:v>
                </c:pt>
                <c:pt idx="498">
                  <c:v>145</c:v>
                </c:pt>
                <c:pt idx="499">
                  <c:v>193</c:v>
                </c:pt>
                <c:pt idx="500">
                  <c:v>71</c:v>
                </c:pt>
                <c:pt idx="501">
                  <c:v>0</c:v>
                </c:pt>
                <c:pt idx="502">
                  <c:v>0</c:v>
                </c:pt>
                <c:pt idx="503">
                  <c:v>79</c:v>
                </c:pt>
                <c:pt idx="504">
                  <c:v>0</c:v>
                </c:pt>
                <c:pt idx="505">
                  <c:v>0</c:v>
                </c:pt>
                <c:pt idx="506">
                  <c:v>90</c:v>
                </c:pt>
                <c:pt idx="507">
                  <c:v>170</c:v>
                </c:pt>
                <c:pt idx="508">
                  <c:v>76</c:v>
                </c:pt>
                <c:pt idx="509">
                  <c:v>0</c:v>
                </c:pt>
                <c:pt idx="510">
                  <c:v>0</c:v>
                </c:pt>
                <c:pt idx="511">
                  <c:v>210</c:v>
                </c:pt>
                <c:pt idx="512">
                  <c:v>0</c:v>
                </c:pt>
                <c:pt idx="513">
                  <c:v>0</c:v>
                </c:pt>
                <c:pt idx="514">
                  <c:v>86</c:v>
                </c:pt>
                <c:pt idx="515">
                  <c:v>105</c:v>
                </c:pt>
                <c:pt idx="516">
                  <c:v>165</c:v>
                </c:pt>
                <c:pt idx="517">
                  <c:v>0</c:v>
                </c:pt>
                <c:pt idx="518">
                  <c:v>0</c:v>
                </c:pt>
                <c:pt idx="519">
                  <c:v>326</c:v>
                </c:pt>
                <c:pt idx="520">
                  <c:v>66</c:v>
                </c:pt>
                <c:pt idx="521">
                  <c:v>130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82</c:v>
                </c:pt>
                <c:pt idx="527">
                  <c:v>105</c:v>
                </c:pt>
                <c:pt idx="528">
                  <c:v>188</c:v>
                </c:pt>
                <c:pt idx="529">
                  <c:v>0</c:v>
                </c:pt>
                <c:pt idx="530">
                  <c:v>106</c:v>
                </c:pt>
                <c:pt idx="531">
                  <c:v>0</c:v>
                </c:pt>
                <c:pt idx="532">
                  <c:v>65</c:v>
                </c:pt>
                <c:pt idx="533">
                  <c:v>0</c:v>
                </c:pt>
                <c:pt idx="534">
                  <c:v>56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210</c:v>
                </c:pt>
                <c:pt idx="539">
                  <c:v>155</c:v>
                </c:pt>
                <c:pt idx="540">
                  <c:v>215</c:v>
                </c:pt>
                <c:pt idx="541">
                  <c:v>190</c:v>
                </c:pt>
                <c:pt idx="542">
                  <c:v>0</c:v>
                </c:pt>
                <c:pt idx="543">
                  <c:v>56</c:v>
                </c:pt>
                <c:pt idx="544">
                  <c:v>76</c:v>
                </c:pt>
                <c:pt idx="545">
                  <c:v>225</c:v>
                </c:pt>
                <c:pt idx="546">
                  <c:v>207</c:v>
                </c:pt>
                <c:pt idx="547">
                  <c:v>166</c:v>
                </c:pt>
                <c:pt idx="548">
                  <c:v>67</c:v>
                </c:pt>
                <c:pt idx="549">
                  <c:v>0</c:v>
                </c:pt>
                <c:pt idx="550">
                  <c:v>0</c:v>
                </c:pt>
                <c:pt idx="551">
                  <c:v>106</c:v>
                </c:pt>
                <c:pt idx="552">
                  <c:v>0</c:v>
                </c:pt>
                <c:pt idx="553">
                  <c:v>44</c:v>
                </c:pt>
                <c:pt idx="554">
                  <c:v>115</c:v>
                </c:pt>
                <c:pt idx="555">
                  <c:v>215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274</c:v>
                </c:pt>
                <c:pt idx="562">
                  <c:v>77</c:v>
                </c:pt>
                <c:pt idx="563">
                  <c:v>54</c:v>
                </c:pt>
                <c:pt idx="564">
                  <c:v>0</c:v>
                </c:pt>
                <c:pt idx="565">
                  <c:v>88</c:v>
                </c:pt>
                <c:pt idx="566">
                  <c:v>18</c:v>
                </c:pt>
                <c:pt idx="567">
                  <c:v>126</c:v>
                </c:pt>
                <c:pt idx="568">
                  <c:v>126</c:v>
                </c:pt>
                <c:pt idx="569">
                  <c:v>165</c:v>
                </c:pt>
                <c:pt idx="570">
                  <c:v>0</c:v>
                </c:pt>
                <c:pt idx="571">
                  <c:v>0</c:v>
                </c:pt>
                <c:pt idx="572">
                  <c:v>44</c:v>
                </c:pt>
                <c:pt idx="573">
                  <c:v>120</c:v>
                </c:pt>
                <c:pt idx="574">
                  <c:v>330</c:v>
                </c:pt>
                <c:pt idx="575">
                  <c:v>63</c:v>
                </c:pt>
                <c:pt idx="576">
                  <c:v>130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600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156</c:v>
                </c:pt>
                <c:pt idx="589">
                  <c:v>0</c:v>
                </c:pt>
                <c:pt idx="590">
                  <c:v>0</c:v>
                </c:pt>
                <c:pt idx="591">
                  <c:v>140</c:v>
                </c:pt>
                <c:pt idx="592">
                  <c:v>0</c:v>
                </c:pt>
                <c:pt idx="593">
                  <c:v>115</c:v>
                </c:pt>
                <c:pt idx="594">
                  <c:v>230</c:v>
                </c:pt>
                <c:pt idx="595">
                  <c:v>185</c:v>
                </c:pt>
                <c:pt idx="596">
                  <c:v>0</c:v>
                </c:pt>
                <c:pt idx="597">
                  <c:v>25</c:v>
                </c:pt>
                <c:pt idx="598">
                  <c:v>0</c:v>
                </c:pt>
                <c:pt idx="599">
                  <c:v>120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126</c:v>
                </c:pt>
                <c:pt idx="604">
                  <c:v>0</c:v>
                </c:pt>
                <c:pt idx="605">
                  <c:v>0</c:v>
                </c:pt>
                <c:pt idx="606">
                  <c:v>293</c:v>
                </c:pt>
                <c:pt idx="607">
                  <c:v>41</c:v>
                </c:pt>
                <c:pt idx="608">
                  <c:v>272</c:v>
                </c:pt>
                <c:pt idx="609">
                  <c:v>182</c:v>
                </c:pt>
                <c:pt idx="610">
                  <c:v>158</c:v>
                </c:pt>
                <c:pt idx="611">
                  <c:v>194</c:v>
                </c:pt>
                <c:pt idx="612">
                  <c:v>321</c:v>
                </c:pt>
                <c:pt idx="613">
                  <c:v>0</c:v>
                </c:pt>
                <c:pt idx="614">
                  <c:v>144</c:v>
                </c:pt>
                <c:pt idx="615">
                  <c:v>0</c:v>
                </c:pt>
                <c:pt idx="616">
                  <c:v>0</c:v>
                </c:pt>
                <c:pt idx="617">
                  <c:v>15</c:v>
                </c:pt>
                <c:pt idx="618">
                  <c:v>0</c:v>
                </c:pt>
                <c:pt idx="619">
                  <c:v>0</c:v>
                </c:pt>
                <c:pt idx="620">
                  <c:v>160</c:v>
                </c:pt>
                <c:pt idx="621">
                  <c:v>0</c:v>
                </c:pt>
                <c:pt idx="622">
                  <c:v>0</c:v>
                </c:pt>
                <c:pt idx="623">
                  <c:v>115</c:v>
                </c:pt>
                <c:pt idx="624">
                  <c:v>0</c:v>
                </c:pt>
                <c:pt idx="625">
                  <c:v>54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90</c:v>
                </c:pt>
                <c:pt idx="632">
                  <c:v>0</c:v>
                </c:pt>
                <c:pt idx="633">
                  <c:v>183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66</c:v>
                </c:pt>
                <c:pt idx="638">
                  <c:v>91</c:v>
                </c:pt>
                <c:pt idx="639">
                  <c:v>46</c:v>
                </c:pt>
                <c:pt idx="640">
                  <c:v>105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152</c:v>
                </c:pt>
                <c:pt idx="645">
                  <c:v>440</c:v>
                </c:pt>
                <c:pt idx="646">
                  <c:v>144</c:v>
                </c:pt>
                <c:pt idx="647">
                  <c:v>159</c:v>
                </c:pt>
                <c:pt idx="648">
                  <c:v>130</c:v>
                </c:pt>
                <c:pt idx="649">
                  <c:v>0</c:v>
                </c:pt>
                <c:pt idx="650">
                  <c:v>100</c:v>
                </c:pt>
                <c:pt idx="651">
                  <c:v>106</c:v>
                </c:pt>
                <c:pt idx="652">
                  <c:v>77</c:v>
                </c:pt>
                <c:pt idx="653">
                  <c:v>0</c:v>
                </c:pt>
                <c:pt idx="654">
                  <c:v>135</c:v>
                </c:pt>
                <c:pt idx="655">
                  <c:v>540</c:v>
                </c:pt>
                <c:pt idx="656">
                  <c:v>90</c:v>
                </c:pt>
                <c:pt idx="657">
                  <c:v>200</c:v>
                </c:pt>
                <c:pt idx="658">
                  <c:v>0</c:v>
                </c:pt>
                <c:pt idx="659">
                  <c:v>70</c:v>
                </c:pt>
                <c:pt idx="660">
                  <c:v>0</c:v>
                </c:pt>
                <c:pt idx="661">
                  <c:v>0</c:v>
                </c:pt>
                <c:pt idx="662">
                  <c:v>231</c:v>
                </c:pt>
                <c:pt idx="663">
                  <c:v>130</c:v>
                </c:pt>
                <c:pt idx="664">
                  <c:v>0</c:v>
                </c:pt>
                <c:pt idx="665">
                  <c:v>132</c:v>
                </c:pt>
                <c:pt idx="666">
                  <c:v>0</c:v>
                </c:pt>
                <c:pt idx="667">
                  <c:v>0</c:v>
                </c:pt>
                <c:pt idx="668">
                  <c:v>190</c:v>
                </c:pt>
                <c:pt idx="669">
                  <c:v>100</c:v>
                </c:pt>
                <c:pt idx="670">
                  <c:v>168</c:v>
                </c:pt>
                <c:pt idx="671">
                  <c:v>0</c:v>
                </c:pt>
                <c:pt idx="672">
                  <c:v>49</c:v>
                </c:pt>
                <c:pt idx="673">
                  <c:v>240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265</c:v>
                </c:pt>
                <c:pt idx="680">
                  <c:v>45</c:v>
                </c:pt>
                <c:pt idx="681">
                  <c:v>0</c:v>
                </c:pt>
                <c:pt idx="682">
                  <c:v>105</c:v>
                </c:pt>
                <c:pt idx="683">
                  <c:v>0</c:v>
                </c:pt>
                <c:pt idx="684">
                  <c:v>0</c:v>
                </c:pt>
                <c:pt idx="685">
                  <c:v>205</c:v>
                </c:pt>
                <c:pt idx="686">
                  <c:v>0</c:v>
                </c:pt>
                <c:pt idx="687">
                  <c:v>0</c:v>
                </c:pt>
                <c:pt idx="688">
                  <c:v>180</c:v>
                </c:pt>
                <c:pt idx="689">
                  <c:v>180</c:v>
                </c:pt>
                <c:pt idx="690">
                  <c:v>0</c:v>
                </c:pt>
                <c:pt idx="691">
                  <c:v>0</c:v>
                </c:pt>
                <c:pt idx="692">
                  <c:v>95</c:v>
                </c:pt>
                <c:pt idx="693">
                  <c:v>125</c:v>
                </c:pt>
                <c:pt idx="694">
                  <c:v>0</c:v>
                </c:pt>
                <c:pt idx="695">
                  <c:v>480</c:v>
                </c:pt>
                <c:pt idx="696">
                  <c:v>125</c:v>
                </c:pt>
                <c:pt idx="697">
                  <c:v>0</c:v>
                </c:pt>
                <c:pt idx="698">
                  <c:v>155</c:v>
                </c:pt>
                <c:pt idx="699">
                  <c:v>0</c:v>
                </c:pt>
                <c:pt idx="700">
                  <c:v>200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100</c:v>
                </c:pt>
                <c:pt idx="705">
                  <c:v>0</c:v>
                </c:pt>
                <c:pt idx="706">
                  <c:v>0</c:v>
                </c:pt>
                <c:pt idx="707">
                  <c:v>335</c:v>
                </c:pt>
                <c:pt idx="708">
                  <c:v>0</c:v>
                </c:pt>
                <c:pt idx="709">
                  <c:v>160</c:v>
                </c:pt>
                <c:pt idx="710">
                  <c:v>387</c:v>
                </c:pt>
                <c:pt idx="711">
                  <c:v>22</c:v>
                </c:pt>
                <c:pt idx="712">
                  <c:v>0</c:v>
                </c:pt>
                <c:pt idx="713">
                  <c:v>291</c:v>
                </c:pt>
                <c:pt idx="714">
                  <c:v>0</c:v>
                </c:pt>
                <c:pt idx="715">
                  <c:v>392</c:v>
                </c:pt>
                <c:pt idx="716">
                  <c:v>185</c:v>
                </c:pt>
                <c:pt idx="717">
                  <c:v>0</c:v>
                </c:pt>
                <c:pt idx="718">
                  <c:v>178</c:v>
                </c:pt>
                <c:pt idx="719">
                  <c:v>0</c:v>
                </c:pt>
                <c:pt idx="720">
                  <c:v>0</c:v>
                </c:pt>
                <c:pt idx="721">
                  <c:v>200</c:v>
                </c:pt>
                <c:pt idx="722">
                  <c:v>127</c:v>
                </c:pt>
                <c:pt idx="723">
                  <c:v>105</c:v>
                </c:pt>
                <c:pt idx="724">
                  <c:v>0</c:v>
                </c:pt>
                <c:pt idx="725">
                  <c:v>0</c:v>
                </c:pt>
                <c:pt idx="726">
                  <c:v>180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79</c:v>
                </c:pt>
                <c:pt idx="731">
                  <c:v>0</c:v>
                </c:pt>
                <c:pt idx="732">
                  <c:v>120</c:v>
                </c:pt>
                <c:pt idx="733">
                  <c:v>165</c:v>
                </c:pt>
                <c:pt idx="734">
                  <c:v>0</c:v>
                </c:pt>
                <c:pt idx="735">
                  <c:v>0</c:v>
                </c:pt>
                <c:pt idx="736">
                  <c:v>120</c:v>
                </c:pt>
                <c:pt idx="737">
                  <c:v>0</c:v>
                </c:pt>
                <c:pt idx="738">
                  <c:v>160</c:v>
                </c:pt>
                <c:pt idx="739">
                  <c:v>0</c:v>
                </c:pt>
                <c:pt idx="740">
                  <c:v>150</c:v>
                </c:pt>
                <c:pt idx="741">
                  <c:v>94</c:v>
                </c:pt>
                <c:pt idx="742">
                  <c:v>116</c:v>
                </c:pt>
                <c:pt idx="743">
                  <c:v>0</c:v>
                </c:pt>
                <c:pt idx="744">
                  <c:v>140</c:v>
                </c:pt>
                <c:pt idx="745">
                  <c:v>105</c:v>
                </c:pt>
                <c:pt idx="746">
                  <c:v>0</c:v>
                </c:pt>
                <c:pt idx="747">
                  <c:v>57</c:v>
                </c:pt>
                <c:pt idx="748">
                  <c:v>200</c:v>
                </c:pt>
                <c:pt idx="749">
                  <c:v>0</c:v>
                </c:pt>
                <c:pt idx="750">
                  <c:v>0</c:v>
                </c:pt>
                <c:pt idx="751">
                  <c:v>74</c:v>
                </c:pt>
                <c:pt idx="752">
                  <c:v>0</c:v>
                </c:pt>
                <c:pt idx="753">
                  <c:v>510</c:v>
                </c:pt>
                <c:pt idx="754">
                  <c:v>0</c:v>
                </c:pt>
                <c:pt idx="755">
                  <c:v>110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16</c:v>
                </c:pt>
                <c:pt idx="761">
                  <c:v>0</c:v>
                </c:pt>
                <c:pt idx="762">
                  <c:v>0</c:v>
                </c:pt>
                <c:pt idx="763">
                  <c:v>180</c:v>
                </c:pt>
                <c:pt idx="764">
                  <c:v>0</c:v>
                </c:pt>
                <c:pt idx="765">
                  <c:v>112</c:v>
                </c:pt>
                <c:pt idx="766">
                  <c:v>0</c:v>
                </c:pt>
                <c:pt idx="7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A7-475A-8574-E0C84AC71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548143"/>
        <c:axId val="908548623"/>
      </c:scatterChart>
      <c:valAx>
        <c:axId val="90854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548623"/>
        <c:crosses val="autoZero"/>
        <c:crossBetween val="midCat"/>
      </c:valAx>
      <c:valAx>
        <c:axId val="90854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54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Glucose vs BMI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pima!$B$2:$B$769</c:f>
              <c:numCache>
                <c:formatCode>General</c:formatCode>
                <c:ptCount val="768"/>
                <c:pt idx="0">
                  <c:v>148</c:v>
                </c:pt>
                <c:pt idx="1">
                  <c:v>85</c:v>
                </c:pt>
                <c:pt idx="2">
                  <c:v>183</c:v>
                </c:pt>
                <c:pt idx="3">
                  <c:v>89</c:v>
                </c:pt>
                <c:pt idx="4">
                  <c:v>137</c:v>
                </c:pt>
                <c:pt idx="5">
                  <c:v>116</c:v>
                </c:pt>
                <c:pt idx="6">
                  <c:v>78</c:v>
                </c:pt>
                <c:pt idx="7">
                  <c:v>115</c:v>
                </c:pt>
                <c:pt idx="8">
                  <c:v>197</c:v>
                </c:pt>
                <c:pt idx="9">
                  <c:v>125</c:v>
                </c:pt>
                <c:pt idx="10">
                  <c:v>110</c:v>
                </c:pt>
                <c:pt idx="11">
                  <c:v>168</c:v>
                </c:pt>
                <c:pt idx="12">
                  <c:v>139</c:v>
                </c:pt>
                <c:pt idx="13">
                  <c:v>189</c:v>
                </c:pt>
                <c:pt idx="14">
                  <c:v>166</c:v>
                </c:pt>
                <c:pt idx="15">
                  <c:v>100</c:v>
                </c:pt>
                <c:pt idx="16">
                  <c:v>118</c:v>
                </c:pt>
                <c:pt idx="17">
                  <c:v>107</c:v>
                </c:pt>
                <c:pt idx="18">
                  <c:v>103</c:v>
                </c:pt>
                <c:pt idx="19">
                  <c:v>115</c:v>
                </c:pt>
                <c:pt idx="20">
                  <c:v>126</c:v>
                </c:pt>
                <c:pt idx="21">
                  <c:v>99</c:v>
                </c:pt>
                <c:pt idx="22">
                  <c:v>196</c:v>
                </c:pt>
                <c:pt idx="23">
                  <c:v>119</c:v>
                </c:pt>
                <c:pt idx="24">
                  <c:v>143</c:v>
                </c:pt>
                <c:pt idx="25">
                  <c:v>125</c:v>
                </c:pt>
                <c:pt idx="26">
                  <c:v>147</c:v>
                </c:pt>
                <c:pt idx="27">
                  <c:v>97</c:v>
                </c:pt>
                <c:pt idx="28">
                  <c:v>145</c:v>
                </c:pt>
                <c:pt idx="29">
                  <c:v>117</c:v>
                </c:pt>
                <c:pt idx="30">
                  <c:v>109</c:v>
                </c:pt>
                <c:pt idx="31">
                  <c:v>158</c:v>
                </c:pt>
                <c:pt idx="32">
                  <c:v>88</c:v>
                </c:pt>
                <c:pt idx="33">
                  <c:v>92</c:v>
                </c:pt>
                <c:pt idx="34">
                  <c:v>122</c:v>
                </c:pt>
                <c:pt idx="35">
                  <c:v>103</c:v>
                </c:pt>
                <c:pt idx="36">
                  <c:v>138</c:v>
                </c:pt>
                <c:pt idx="37">
                  <c:v>102</c:v>
                </c:pt>
                <c:pt idx="38">
                  <c:v>90</c:v>
                </c:pt>
                <c:pt idx="39">
                  <c:v>111</c:v>
                </c:pt>
                <c:pt idx="40">
                  <c:v>180</c:v>
                </c:pt>
                <c:pt idx="41">
                  <c:v>133</c:v>
                </c:pt>
                <c:pt idx="42">
                  <c:v>106</c:v>
                </c:pt>
                <c:pt idx="43">
                  <c:v>171</c:v>
                </c:pt>
                <c:pt idx="44">
                  <c:v>159</c:v>
                </c:pt>
                <c:pt idx="45">
                  <c:v>180</c:v>
                </c:pt>
                <c:pt idx="46">
                  <c:v>146</c:v>
                </c:pt>
                <c:pt idx="47">
                  <c:v>71</c:v>
                </c:pt>
                <c:pt idx="48">
                  <c:v>103</c:v>
                </c:pt>
                <c:pt idx="49">
                  <c:v>105</c:v>
                </c:pt>
                <c:pt idx="50">
                  <c:v>103</c:v>
                </c:pt>
                <c:pt idx="51">
                  <c:v>101</c:v>
                </c:pt>
                <c:pt idx="52">
                  <c:v>88</c:v>
                </c:pt>
                <c:pt idx="53">
                  <c:v>176</c:v>
                </c:pt>
                <c:pt idx="54">
                  <c:v>150</c:v>
                </c:pt>
                <c:pt idx="55">
                  <c:v>73</c:v>
                </c:pt>
                <c:pt idx="56">
                  <c:v>187</c:v>
                </c:pt>
                <c:pt idx="57">
                  <c:v>100</c:v>
                </c:pt>
                <c:pt idx="58">
                  <c:v>146</c:v>
                </c:pt>
                <c:pt idx="59">
                  <c:v>105</c:v>
                </c:pt>
                <c:pt idx="60">
                  <c:v>84</c:v>
                </c:pt>
                <c:pt idx="61">
                  <c:v>133</c:v>
                </c:pt>
                <c:pt idx="62">
                  <c:v>44</c:v>
                </c:pt>
                <c:pt idx="63">
                  <c:v>141</c:v>
                </c:pt>
                <c:pt idx="64">
                  <c:v>114</c:v>
                </c:pt>
                <c:pt idx="65">
                  <c:v>99</c:v>
                </c:pt>
                <c:pt idx="66">
                  <c:v>109</c:v>
                </c:pt>
                <c:pt idx="67">
                  <c:v>109</c:v>
                </c:pt>
                <c:pt idx="68">
                  <c:v>95</c:v>
                </c:pt>
                <c:pt idx="69">
                  <c:v>146</c:v>
                </c:pt>
                <c:pt idx="70">
                  <c:v>100</c:v>
                </c:pt>
                <c:pt idx="71">
                  <c:v>139</c:v>
                </c:pt>
                <c:pt idx="72">
                  <c:v>126</c:v>
                </c:pt>
                <c:pt idx="73">
                  <c:v>129</c:v>
                </c:pt>
                <c:pt idx="74">
                  <c:v>79</c:v>
                </c:pt>
                <c:pt idx="75">
                  <c:v>0</c:v>
                </c:pt>
                <c:pt idx="76">
                  <c:v>62</c:v>
                </c:pt>
                <c:pt idx="77">
                  <c:v>95</c:v>
                </c:pt>
                <c:pt idx="78">
                  <c:v>131</c:v>
                </c:pt>
                <c:pt idx="79">
                  <c:v>112</c:v>
                </c:pt>
                <c:pt idx="80">
                  <c:v>113</c:v>
                </c:pt>
                <c:pt idx="81">
                  <c:v>74</c:v>
                </c:pt>
                <c:pt idx="82">
                  <c:v>83</c:v>
                </c:pt>
                <c:pt idx="83">
                  <c:v>101</c:v>
                </c:pt>
                <c:pt idx="84">
                  <c:v>137</c:v>
                </c:pt>
                <c:pt idx="85">
                  <c:v>110</c:v>
                </c:pt>
                <c:pt idx="86">
                  <c:v>106</c:v>
                </c:pt>
                <c:pt idx="87">
                  <c:v>100</c:v>
                </c:pt>
                <c:pt idx="88">
                  <c:v>136</c:v>
                </c:pt>
                <c:pt idx="89">
                  <c:v>107</c:v>
                </c:pt>
                <c:pt idx="90">
                  <c:v>80</c:v>
                </c:pt>
                <c:pt idx="91">
                  <c:v>123</c:v>
                </c:pt>
                <c:pt idx="92">
                  <c:v>81</c:v>
                </c:pt>
                <c:pt idx="93">
                  <c:v>134</c:v>
                </c:pt>
                <c:pt idx="94">
                  <c:v>142</c:v>
                </c:pt>
                <c:pt idx="95">
                  <c:v>144</c:v>
                </c:pt>
                <c:pt idx="96">
                  <c:v>92</c:v>
                </c:pt>
                <c:pt idx="97">
                  <c:v>71</c:v>
                </c:pt>
                <c:pt idx="98">
                  <c:v>93</c:v>
                </c:pt>
                <c:pt idx="99">
                  <c:v>122</c:v>
                </c:pt>
                <c:pt idx="100">
                  <c:v>163</c:v>
                </c:pt>
                <c:pt idx="101">
                  <c:v>151</c:v>
                </c:pt>
                <c:pt idx="102">
                  <c:v>125</c:v>
                </c:pt>
                <c:pt idx="103">
                  <c:v>81</c:v>
                </c:pt>
                <c:pt idx="104">
                  <c:v>85</c:v>
                </c:pt>
                <c:pt idx="105">
                  <c:v>126</c:v>
                </c:pt>
                <c:pt idx="106">
                  <c:v>96</c:v>
                </c:pt>
                <c:pt idx="107">
                  <c:v>144</c:v>
                </c:pt>
                <c:pt idx="108">
                  <c:v>83</c:v>
                </c:pt>
                <c:pt idx="109">
                  <c:v>95</c:v>
                </c:pt>
                <c:pt idx="110">
                  <c:v>171</c:v>
                </c:pt>
                <c:pt idx="111">
                  <c:v>155</c:v>
                </c:pt>
                <c:pt idx="112">
                  <c:v>89</c:v>
                </c:pt>
                <c:pt idx="113">
                  <c:v>76</c:v>
                </c:pt>
                <c:pt idx="114">
                  <c:v>160</c:v>
                </c:pt>
                <c:pt idx="115">
                  <c:v>146</c:v>
                </c:pt>
                <c:pt idx="116">
                  <c:v>124</c:v>
                </c:pt>
                <c:pt idx="117">
                  <c:v>78</c:v>
                </c:pt>
                <c:pt idx="118">
                  <c:v>97</c:v>
                </c:pt>
                <c:pt idx="119">
                  <c:v>99</c:v>
                </c:pt>
                <c:pt idx="120">
                  <c:v>162</c:v>
                </c:pt>
                <c:pt idx="121">
                  <c:v>111</c:v>
                </c:pt>
                <c:pt idx="122">
                  <c:v>107</c:v>
                </c:pt>
                <c:pt idx="123">
                  <c:v>132</c:v>
                </c:pt>
                <c:pt idx="124">
                  <c:v>113</c:v>
                </c:pt>
                <c:pt idx="125">
                  <c:v>88</c:v>
                </c:pt>
                <c:pt idx="126">
                  <c:v>120</c:v>
                </c:pt>
                <c:pt idx="127">
                  <c:v>118</c:v>
                </c:pt>
                <c:pt idx="128">
                  <c:v>117</c:v>
                </c:pt>
                <c:pt idx="129">
                  <c:v>105</c:v>
                </c:pt>
                <c:pt idx="130">
                  <c:v>173</c:v>
                </c:pt>
                <c:pt idx="131">
                  <c:v>122</c:v>
                </c:pt>
                <c:pt idx="132">
                  <c:v>170</c:v>
                </c:pt>
                <c:pt idx="133">
                  <c:v>84</c:v>
                </c:pt>
                <c:pt idx="134">
                  <c:v>96</c:v>
                </c:pt>
                <c:pt idx="135">
                  <c:v>125</c:v>
                </c:pt>
                <c:pt idx="136">
                  <c:v>100</c:v>
                </c:pt>
                <c:pt idx="137">
                  <c:v>93</c:v>
                </c:pt>
                <c:pt idx="138">
                  <c:v>129</c:v>
                </c:pt>
                <c:pt idx="139">
                  <c:v>105</c:v>
                </c:pt>
                <c:pt idx="140">
                  <c:v>128</c:v>
                </c:pt>
                <c:pt idx="141">
                  <c:v>106</c:v>
                </c:pt>
                <c:pt idx="142">
                  <c:v>108</c:v>
                </c:pt>
                <c:pt idx="143">
                  <c:v>108</c:v>
                </c:pt>
                <c:pt idx="144">
                  <c:v>154</c:v>
                </c:pt>
                <c:pt idx="145">
                  <c:v>102</c:v>
                </c:pt>
                <c:pt idx="146">
                  <c:v>57</c:v>
                </c:pt>
                <c:pt idx="147">
                  <c:v>106</c:v>
                </c:pt>
                <c:pt idx="148">
                  <c:v>147</c:v>
                </c:pt>
                <c:pt idx="149">
                  <c:v>90</c:v>
                </c:pt>
                <c:pt idx="150">
                  <c:v>136</c:v>
                </c:pt>
                <c:pt idx="151">
                  <c:v>114</c:v>
                </c:pt>
                <c:pt idx="152">
                  <c:v>156</c:v>
                </c:pt>
                <c:pt idx="153">
                  <c:v>153</c:v>
                </c:pt>
                <c:pt idx="154">
                  <c:v>188</c:v>
                </c:pt>
                <c:pt idx="155">
                  <c:v>152</c:v>
                </c:pt>
                <c:pt idx="156">
                  <c:v>99</c:v>
                </c:pt>
                <c:pt idx="157">
                  <c:v>109</c:v>
                </c:pt>
                <c:pt idx="158">
                  <c:v>88</c:v>
                </c:pt>
                <c:pt idx="159">
                  <c:v>163</c:v>
                </c:pt>
                <c:pt idx="160">
                  <c:v>151</c:v>
                </c:pt>
                <c:pt idx="161">
                  <c:v>102</c:v>
                </c:pt>
                <c:pt idx="162">
                  <c:v>114</c:v>
                </c:pt>
                <c:pt idx="163">
                  <c:v>100</c:v>
                </c:pt>
                <c:pt idx="164">
                  <c:v>131</c:v>
                </c:pt>
                <c:pt idx="165">
                  <c:v>104</c:v>
                </c:pt>
                <c:pt idx="166">
                  <c:v>148</c:v>
                </c:pt>
                <c:pt idx="167">
                  <c:v>120</c:v>
                </c:pt>
                <c:pt idx="168">
                  <c:v>110</c:v>
                </c:pt>
                <c:pt idx="169">
                  <c:v>111</c:v>
                </c:pt>
                <c:pt idx="170">
                  <c:v>102</c:v>
                </c:pt>
                <c:pt idx="171">
                  <c:v>134</c:v>
                </c:pt>
                <c:pt idx="172">
                  <c:v>87</c:v>
                </c:pt>
                <c:pt idx="173">
                  <c:v>79</c:v>
                </c:pt>
                <c:pt idx="174">
                  <c:v>75</c:v>
                </c:pt>
                <c:pt idx="175">
                  <c:v>179</c:v>
                </c:pt>
                <c:pt idx="176">
                  <c:v>85</c:v>
                </c:pt>
                <c:pt idx="177">
                  <c:v>129</c:v>
                </c:pt>
                <c:pt idx="178">
                  <c:v>143</c:v>
                </c:pt>
                <c:pt idx="179">
                  <c:v>130</c:v>
                </c:pt>
                <c:pt idx="180">
                  <c:v>87</c:v>
                </c:pt>
                <c:pt idx="181">
                  <c:v>119</c:v>
                </c:pt>
                <c:pt idx="182">
                  <c:v>0</c:v>
                </c:pt>
                <c:pt idx="183">
                  <c:v>73</c:v>
                </c:pt>
                <c:pt idx="184">
                  <c:v>141</c:v>
                </c:pt>
                <c:pt idx="185">
                  <c:v>194</c:v>
                </c:pt>
                <c:pt idx="186">
                  <c:v>181</c:v>
                </c:pt>
                <c:pt idx="187">
                  <c:v>128</c:v>
                </c:pt>
                <c:pt idx="188">
                  <c:v>109</c:v>
                </c:pt>
                <c:pt idx="189">
                  <c:v>139</c:v>
                </c:pt>
                <c:pt idx="190">
                  <c:v>111</c:v>
                </c:pt>
                <c:pt idx="191">
                  <c:v>123</c:v>
                </c:pt>
                <c:pt idx="192">
                  <c:v>159</c:v>
                </c:pt>
                <c:pt idx="193">
                  <c:v>135</c:v>
                </c:pt>
                <c:pt idx="194">
                  <c:v>85</c:v>
                </c:pt>
                <c:pt idx="195">
                  <c:v>158</c:v>
                </c:pt>
                <c:pt idx="196">
                  <c:v>105</c:v>
                </c:pt>
                <c:pt idx="197">
                  <c:v>107</c:v>
                </c:pt>
                <c:pt idx="198">
                  <c:v>109</c:v>
                </c:pt>
                <c:pt idx="199">
                  <c:v>148</c:v>
                </c:pt>
                <c:pt idx="200">
                  <c:v>113</c:v>
                </c:pt>
                <c:pt idx="201">
                  <c:v>138</c:v>
                </c:pt>
                <c:pt idx="202">
                  <c:v>108</c:v>
                </c:pt>
                <c:pt idx="203">
                  <c:v>99</c:v>
                </c:pt>
                <c:pt idx="204">
                  <c:v>103</c:v>
                </c:pt>
                <c:pt idx="205">
                  <c:v>111</c:v>
                </c:pt>
                <c:pt idx="206">
                  <c:v>196</c:v>
                </c:pt>
                <c:pt idx="207">
                  <c:v>162</c:v>
                </c:pt>
                <c:pt idx="208">
                  <c:v>96</c:v>
                </c:pt>
                <c:pt idx="209">
                  <c:v>184</c:v>
                </c:pt>
                <c:pt idx="210">
                  <c:v>81</c:v>
                </c:pt>
                <c:pt idx="211">
                  <c:v>147</c:v>
                </c:pt>
                <c:pt idx="212">
                  <c:v>179</c:v>
                </c:pt>
                <c:pt idx="213">
                  <c:v>140</c:v>
                </c:pt>
                <c:pt idx="214">
                  <c:v>112</c:v>
                </c:pt>
                <c:pt idx="215">
                  <c:v>151</c:v>
                </c:pt>
                <c:pt idx="216">
                  <c:v>109</c:v>
                </c:pt>
                <c:pt idx="217">
                  <c:v>125</c:v>
                </c:pt>
                <c:pt idx="218">
                  <c:v>85</c:v>
                </c:pt>
                <c:pt idx="219">
                  <c:v>112</c:v>
                </c:pt>
                <c:pt idx="220">
                  <c:v>177</c:v>
                </c:pt>
                <c:pt idx="221">
                  <c:v>158</c:v>
                </c:pt>
                <c:pt idx="222">
                  <c:v>119</c:v>
                </c:pt>
                <c:pt idx="223">
                  <c:v>142</c:v>
                </c:pt>
                <c:pt idx="224">
                  <c:v>100</c:v>
                </c:pt>
                <c:pt idx="225">
                  <c:v>87</c:v>
                </c:pt>
                <c:pt idx="226">
                  <c:v>101</c:v>
                </c:pt>
                <c:pt idx="227">
                  <c:v>162</c:v>
                </c:pt>
                <c:pt idx="228">
                  <c:v>197</c:v>
                </c:pt>
                <c:pt idx="229">
                  <c:v>117</c:v>
                </c:pt>
                <c:pt idx="230">
                  <c:v>142</c:v>
                </c:pt>
                <c:pt idx="231">
                  <c:v>134</c:v>
                </c:pt>
                <c:pt idx="232">
                  <c:v>79</c:v>
                </c:pt>
                <c:pt idx="233">
                  <c:v>122</c:v>
                </c:pt>
                <c:pt idx="234">
                  <c:v>74</c:v>
                </c:pt>
                <c:pt idx="235">
                  <c:v>171</c:v>
                </c:pt>
                <c:pt idx="236">
                  <c:v>181</c:v>
                </c:pt>
                <c:pt idx="237">
                  <c:v>179</c:v>
                </c:pt>
                <c:pt idx="238">
                  <c:v>164</c:v>
                </c:pt>
                <c:pt idx="239">
                  <c:v>104</c:v>
                </c:pt>
                <c:pt idx="240">
                  <c:v>91</c:v>
                </c:pt>
                <c:pt idx="241">
                  <c:v>91</c:v>
                </c:pt>
                <c:pt idx="242">
                  <c:v>139</c:v>
                </c:pt>
                <c:pt idx="243">
                  <c:v>119</c:v>
                </c:pt>
                <c:pt idx="244">
                  <c:v>146</c:v>
                </c:pt>
                <c:pt idx="245">
                  <c:v>184</c:v>
                </c:pt>
                <c:pt idx="246">
                  <c:v>122</c:v>
                </c:pt>
                <c:pt idx="247">
                  <c:v>165</c:v>
                </c:pt>
                <c:pt idx="248">
                  <c:v>124</c:v>
                </c:pt>
                <c:pt idx="249">
                  <c:v>111</c:v>
                </c:pt>
                <c:pt idx="250">
                  <c:v>106</c:v>
                </c:pt>
                <c:pt idx="251">
                  <c:v>129</c:v>
                </c:pt>
                <c:pt idx="252">
                  <c:v>90</c:v>
                </c:pt>
                <c:pt idx="253">
                  <c:v>86</c:v>
                </c:pt>
                <c:pt idx="254">
                  <c:v>92</c:v>
                </c:pt>
                <c:pt idx="255">
                  <c:v>113</c:v>
                </c:pt>
                <c:pt idx="256">
                  <c:v>111</c:v>
                </c:pt>
                <c:pt idx="257">
                  <c:v>114</c:v>
                </c:pt>
                <c:pt idx="258">
                  <c:v>193</c:v>
                </c:pt>
                <c:pt idx="259">
                  <c:v>155</c:v>
                </c:pt>
                <c:pt idx="260">
                  <c:v>191</c:v>
                </c:pt>
                <c:pt idx="261">
                  <c:v>141</c:v>
                </c:pt>
                <c:pt idx="262">
                  <c:v>95</c:v>
                </c:pt>
                <c:pt idx="263">
                  <c:v>142</c:v>
                </c:pt>
                <c:pt idx="264">
                  <c:v>123</c:v>
                </c:pt>
                <c:pt idx="265">
                  <c:v>96</c:v>
                </c:pt>
                <c:pt idx="266">
                  <c:v>138</c:v>
                </c:pt>
                <c:pt idx="267">
                  <c:v>128</c:v>
                </c:pt>
                <c:pt idx="268">
                  <c:v>102</c:v>
                </c:pt>
                <c:pt idx="269">
                  <c:v>146</c:v>
                </c:pt>
                <c:pt idx="270">
                  <c:v>101</c:v>
                </c:pt>
                <c:pt idx="271">
                  <c:v>108</c:v>
                </c:pt>
                <c:pt idx="272">
                  <c:v>122</c:v>
                </c:pt>
                <c:pt idx="273">
                  <c:v>71</c:v>
                </c:pt>
                <c:pt idx="274">
                  <c:v>106</c:v>
                </c:pt>
                <c:pt idx="275">
                  <c:v>100</c:v>
                </c:pt>
                <c:pt idx="276">
                  <c:v>106</c:v>
                </c:pt>
                <c:pt idx="277">
                  <c:v>104</c:v>
                </c:pt>
                <c:pt idx="278">
                  <c:v>114</c:v>
                </c:pt>
                <c:pt idx="279">
                  <c:v>108</c:v>
                </c:pt>
                <c:pt idx="280">
                  <c:v>146</c:v>
                </c:pt>
                <c:pt idx="281">
                  <c:v>129</c:v>
                </c:pt>
                <c:pt idx="282">
                  <c:v>133</c:v>
                </c:pt>
                <c:pt idx="283">
                  <c:v>161</c:v>
                </c:pt>
                <c:pt idx="284">
                  <c:v>108</c:v>
                </c:pt>
                <c:pt idx="285">
                  <c:v>136</c:v>
                </c:pt>
                <c:pt idx="286">
                  <c:v>155</c:v>
                </c:pt>
                <c:pt idx="287">
                  <c:v>119</c:v>
                </c:pt>
                <c:pt idx="288">
                  <c:v>96</c:v>
                </c:pt>
                <c:pt idx="289">
                  <c:v>108</c:v>
                </c:pt>
                <c:pt idx="290">
                  <c:v>78</c:v>
                </c:pt>
                <c:pt idx="291">
                  <c:v>107</c:v>
                </c:pt>
                <c:pt idx="292">
                  <c:v>128</c:v>
                </c:pt>
                <c:pt idx="293">
                  <c:v>128</c:v>
                </c:pt>
                <c:pt idx="294">
                  <c:v>161</c:v>
                </c:pt>
                <c:pt idx="295">
                  <c:v>151</c:v>
                </c:pt>
                <c:pt idx="296">
                  <c:v>146</c:v>
                </c:pt>
                <c:pt idx="297">
                  <c:v>126</c:v>
                </c:pt>
                <c:pt idx="298">
                  <c:v>100</c:v>
                </c:pt>
                <c:pt idx="299">
                  <c:v>112</c:v>
                </c:pt>
                <c:pt idx="300">
                  <c:v>167</c:v>
                </c:pt>
                <c:pt idx="301">
                  <c:v>144</c:v>
                </c:pt>
                <c:pt idx="302">
                  <c:v>77</c:v>
                </c:pt>
                <c:pt idx="303">
                  <c:v>115</c:v>
                </c:pt>
                <c:pt idx="304">
                  <c:v>150</c:v>
                </c:pt>
                <c:pt idx="305">
                  <c:v>120</c:v>
                </c:pt>
                <c:pt idx="306">
                  <c:v>161</c:v>
                </c:pt>
                <c:pt idx="307">
                  <c:v>137</c:v>
                </c:pt>
                <c:pt idx="308">
                  <c:v>128</c:v>
                </c:pt>
                <c:pt idx="309">
                  <c:v>124</c:v>
                </c:pt>
                <c:pt idx="310">
                  <c:v>80</c:v>
                </c:pt>
                <c:pt idx="311">
                  <c:v>106</c:v>
                </c:pt>
                <c:pt idx="312">
                  <c:v>155</c:v>
                </c:pt>
                <c:pt idx="313">
                  <c:v>113</c:v>
                </c:pt>
                <c:pt idx="314">
                  <c:v>109</c:v>
                </c:pt>
                <c:pt idx="315">
                  <c:v>112</c:v>
                </c:pt>
                <c:pt idx="316">
                  <c:v>99</c:v>
                </c:pt>
                <c:pt idx="317">
                  <c:v>182</c:v>
                </c:pt>
                <c:pt idx="318">
                  <c:v>115</c:v>
                </c:pt>
                <c:pt idx="319">
                  <c:v>194</c:v>
                </c:pt>
                <c:pt idx="320">
                  <c:v>129</c:v>
                </c:pt>
                <c:pt idx="321">
                  <c:v>112</c:v>
                </c:pt>
                <c:pt idx="322">
                  <c:v>124</c:v>
                </c:pt>
                <c:pt idx="323">
                  <c:v>152</c:v>
                </c:pt>
                <c:pt idx="324">
                  <c:v>112</c:v>
                </c:pt>
                <c:pt idx="325">
                  <c:v>157</c:v>
                </c:pt>
                <c:pt idx="326">
                  <c:v>122</c:v>
                </c:pt>
                <c:pt idx="327">
                  <c:v>179</c:v>
                </c:pt>
                <c:pt idx="328">
                  <c:v>102</c:v>
                </c:pt>
                <c:pt idx="329">
                  <c:v>105</c:v>
                </c:pt>
                <c:pt idx="330">
                  <c:v>118</c:v>
                </c:pt>
                <c:pt idx="331">
                  <c:v>87</c:v>
                </c:pt>
                <c:pt idx="332">
                  <c:v>180</c:v>
                </c:pt>
                <c:pt idx="333">
                  <c:v>106</c:v>
                </c:pt>
                <c:pt idx="334">
                  <c:v>95</c:v>
                </c:pt>
                <c:pt idx="335">
                  <c:v>165</c:v>
                </c:pt>
                <c:pt idx="336">
                  <c:v>117</c:v>
                </c:pt>
                <c:pt idx="337">
                  <c:v>115</c:v>
                </c:pt>
                <c:pt idx="338">
                  <c:v>152</c:v>
                </c:pt>
                <c:pt idx="339">
                  <c:v>178</c:v>
                </c:pt>
                <c:pt idx="340">
                  <c:v>130</c:v>
                </c:pt>
                <c:pt idx="341">
                  <c:v>95</c:v>
                </c:pt>
                <c:pt idx="342">
                  <c:v>0</c:v>
                </c:pt>
                <c:pt idx="343">
                  <c:v>122</c:v>
                </c:pt>
                <c:pt idx="344">
                  <c:v>95</c:v>
                </c:pt>
                <c:pt idx="345">
                  <c:v>126</c:v>
                </c:pt>
                <c:pt idx="346">
                  <c:v>139</c:v>
                </c:pt>
                <c:pt idx="347">
                  <c:v>116</c:v>
                </c:pt>
                <c:pt idx="348">
                  <c:v>99</c:v>
                </c:pt>
                <c:pt idx="349">
                  <c:v>0</c:v>
                </c:pt>
                <c:pt idx="350">
                  <c:v>92</c:v>
                </c:pt>
                <c:pt idx="351">
                  <c:v>137</c:v>
                </c:pt>
                <c:pt idx="352">
                  <c:v>61</c:v>
                </c:pt>
                <c:pt idx="353">
                  <c:v>90</c:v>
                </c:pt>
                <c:pt idx="354">
                  <c:v>90</c:v>
                </c:pt>
                <c:pt idx="355">
                  <c:v>165</c:v>
                </c:pt>
                <c:pt idx="356">
                  <c:v>125</c:v>
                </c:pt>
                <c:pt idx="357">
                  <c:v>129</c:v>
                </c:pt>
                <c:pt idx="358">
                  <c:v>88</c:v>
                </c:pt>
                <c:pt idx="359">
                  <c:v>196</c:v>
                </c:pt>
                <c:pt idx="360">
                  <c:v>189</c:v>
                </c:pt>
                <c:pt idx="361">
                  <c:v>158</c:v>
                </c:pt>
                <c:pt idx="362">
                  <c:v>103</c:v>
                </c:pt>
                <c:pt idx="363">
                  <c:v>146</c:v>
                </c:pt>
                <c:pt idx="364">
                  <c:v>147</c:v>
                </c:pt>
                <c:pt idx="365">
                  <c:v>99</c:v>
                </c:pt>
                <c:pt idx="366">
                  <c:v>124</c:v>
                </c:pt>
                <c:pt idx="367">
                  <c:v>101</c:v>
                </c:pt>
                <c:pt idx="368">
                  <c:v>81</c:v>
                </c:pt>
                <c:pt idx="369">
                  <c:v>133</c:v>
                </c:pt>
                <c:pt idx="370">
                  <c:v>173</c:v>
                </c:pt>
                <c:pt idx="371">
                  <c:v>118</c:v>
                </c:pt>
                <c:pt idx="372">
                  <c:v>84</c:v>
                </c:pt>
                <c:pt idx="373">
                  <c:v>105</c:v>
                </c:pt>
                <c:pt idx="374">
                  <c:v>122</c:v>
                </c:pt>
                <c:pt idx="375">
                  <c:v>140</c:v>
                </c:pt>
                <c:pt idx="376">
                  <c:v>98</c:v>
                </c:pt>
                <c:pt idx="377">
                  <c:v>87</c:v>
                </c:pt>
                <c:pt idx="378">
                  <c:v>156</c:v>
                </c:pt>
                <c:pt idx="379">
                  <c:v>93</c:v>
                </c:pt>
                <c:pt idx="380">
                  <c:v>107</c:v>
                </c:pt>
                <c:pt idx="381">
                  <c:v>105</c:v>
                </c:pt>
                <c:pt idx="382">
                  <c:v>109</c:v>
                </c:pt>
                <c:pt idx="383">
                  <c:v>90</c:v>
                </c:pt>
                <c:pt idx="384">
                  <c:v>125</c:v>
                </c:pt>
                <c:pt idx="385">
                  <c:v>119</c:v>
                </c:pt>
                <c:pt idx="386">
                  <c:v>116</c:v>
                </c:pt>
                <c:pt idx="387">
                  <c:v>105</c:v>
                </c:pt>
                <c:pt idx="388">
                  <c:v>144</c:v>
                </c:pt>
                <c:pt idx="389">
                  <c:v>100</c:v>
                </c:pt>
                <c:pt idx="390">
                  <c:v>100</c:v>
                </c:pt>
                <c:pt idx="391">
                  <c:v>166</c:v>
                </c:pt>
                <c:pt idx="392">
                  <c:v>131</c:v>
                </c:pt>
                <c:pt idx="393">
                  <c:v>116</c:v>
                </c:pt>
                <c:pt idx="394">
                  <c:v>158</c:v>
                </c:pt>
                <c:pt idx="395">
                  <c:v>127</c:v>
                </c:pt>
                <c:pt idx="396">
                  <c:v>96</c:v>
                </c:pt>
                <c:pt idx="397">
                  <c:v>131</c:v>
                </c:pt>
                <c:pt idx="398">
                  <c:v>82</c:v>
                </c:pt>
                <c:pt idx="399">
                  <c:v>193</c:v>
                </c:pt>
                <c:pt idx="400">
                  <c:v>95</c:v>
                </c:pt>
                <c:pt idx="401">
                  <c:v>137</c:v>
                </c:pt>
                <c:pt idx="402">
                  <c:v>136</c:v>
                </c:pt>
                <c:pt idx="403">
                  <c:v>72</c:v>
                </c:pt>
                <c:pt idx="404">
                  <c:v>168</c:v>
                </c:pt>
                <c:pt idx="405">
                  <c:v>123</c:v>
                </c:pt>
                <c:pt idx="406">
                  <c:v>115</c:v>
                </c:pt>
                <c:pt idx="407">
                  <c:v>101</c:v>
                </c:pt>
                <c:pt idx="408">
                  <c:v>197</c:v>
                </c:pt>
                <c:pt idx="409">
                  <c:v>172</c:v>
                </c:pt>
                <c:pt idx="410">
                  <c:v>102</c:v>
                </c:pt>
                <c:pt idx="411">
                  <c:v>112</c:v>
                </c:pt>
                <c:pt idx="412">
                  <c:v>143</c:v>
                </c:pt>
                <c:pt idx="413">
                  <c:v>143</c:v>
                </c:pt>
                <c:pt idx="414">
                  <c:v>138</c:v>
                </c:pt>
                <c:pt idx="415">
                  <c:v>173</c:v>
                </c:pt>
                <c:pt idx="416">
                  <c:v>97</c:v>
                </c:pt>
                <c:pt idx="417">
                  <c:v>144</c:v>
                </c:pt>
                <c:pt idx="418">
                  <c:v>83</c:v>
                </c:pt>
                <c:pt idx="419">
                  <c:v>129</c:v>
                </c:pt>
                <c:pt idx="420">
                  <c:v>119</c:v>
                </c:pt>
                <c:pt idx="421">
                  <c:v>94</c:v>
                </c:pt>
                <c:pt idx="422">
                  <c:v>102</c:v>
                </c:pt>
                <c:pt idx="423">
                  <c:v>115</c:v>
                </c:pt>
                <c:pt idx="424">
                  <c:v>151</c:v>
                </c:pt>
                <c:pt idx="425">
                  <c:v>184</c:v>
                </c:pt>
                <c:pt idx="426">
                  <c:v>94</c:v>
                </c:pt>
                <c:pt idx="427">
                  <c:v>181</c:v>
                </c:pt>
                <c:pt idx="428">
                  <c:v>135</c:v>
                </c:pt>
                <c:pt idx="429">
                  <c:v>95</c:v>
                </c:pt>
                <c:pt idx="430">
                  <c:v>99</c:v>
                </c:pt>
                <c:pt idx="431">
                  <c:v>89</c:v>
                </c:pt>
                <c:pt idx="432">
                  <c:v>80</c:v>
                </c:pt>
                <c:pt idx="433">
                  <c:v>139</c:v>
                </c:pt>
                <c:pt idx="434">
                  <c:v>90</c:v>
                </c:pt>
                <c:pt idx="435">
                  <c:v>141</c:v>
                </c:pt>
                <c:pt idx="436">
                  <c:v>140</c:v>
                </c:pt>
                <c:pt idx="437">
                  <c:v>147</c:v>
                </c:pt>
                <c:pt idx="438">
                  <c:v>97</c:v>
                </c:pt>
                <c:pt idx="439">
                  <c:v>107</c:v>
                </c:pt>
                <c:pt idx="440">
                  <c:v>189</c:v>
                </c:pt>
                <c:pt idx="441">
                  <c:v>83</c:v>
                </c:pt>
                <c:pt idx="442">
                  <c:v>117</c:v>
                </c:pt>
                <c:pt idx="443">
                  <c:v>108</c:v>
                </c:pt>
                <c:pt idx="444">
                  <c:v>117</c:v>
                </c:pt>
                <c:pt idx="445">
                  <c:v>180</c:v>
                </c:pt>
                <c:pt idx="446">
                  <c:v>100</c:v>
                </c:pt>
                <c:pt idx="447">
                  <c:v>95</c:v>
                </c:pt>
                <c:pt idx="448">
                  <c:v>104</c:v>
                </c:pt>
                <c:pt idx="449">
                  <c:v>120</c:v>
                </c:pt>
                <c:pt idx="450">
                  <c:v>82</c:v>
                </c:pt>
                <c:pt idx="451">
                  <c:v>134</c:v>
                </c:pt>
                <c:pt idx="452">
                  <c:v>91</c:v>
                </c:pt>
                <c:pt idx="453">
                  <c:v>119</c:v>
                </c:pt>
                <c:pt idx="454">
                  <c:v>100</c:v>
                </c:pt>
                <c:pt idx="455">
                  <c:v>175</c:v>
                </c:pt>
                <c:pt idx="456">
                  <c:v>135</c:v>
                </c:pt>
                <c:pt idx="457">
                  <c:v>86</c:v>
                </c:pt>
                <c:pt idx="458">
                  <c:v>148</c:v>
                </c:pt>
                <c:pt idx="459">
                  <c:v>134</c:v>
                </c:pt>
                <c:pt idx="460">
                  <c:v>120</c:v>
                </c:pt>
                <c:pt idx="461">
                  <c:v>71</c:v>
                </c:pt>
                <c:pt idx="462">
                  <c:v>74</c:v>
                </c:pt>
                <c:pt idx="463">
                  <c:v>88</c:v>
                </c:pt>
                <c:pt idx="464">
                  <c:v>115</c:v>
                </c:pt>
                <c:pt idx="465">
                  <c:v>124</c:v>
                </c:pt>
                <c:pt idx="466">
                  <c:v>74</c:v>
                </c:pt>
                <c:pt idx="467">
                  <c:v>97</c:v>
                </c:pt>
                <c:pt idx="468">
                  <c:v>120</c:v>
                </c:pt>
                <c:pt idx="469">
                  <c:v>154</c:v>
                </c:pt>
                <c:pt idx="470">
                  <c:v>144</c:v>
                </c:pt>
                <c:pt idx="471">
                  <c:v>137</c:v>
                </c:pt>
                <c:pt idx="472">
                  <c:v>119</c:v>
                </c:pt>
                <c:pt idx="473">
                  <c:v>136</c:v>
                </c:pt>
                <c:pt idx="474">
                  <c:v>114</c:v>
                </c:pt>
                <c:pt idx="475">
                  <c:v>137</c:v>
                </c:pt>
                <c:pt idx="476">
                  <c:v>105</c:v>
                </c:pt>
                <c:pt idx="477">
                  <c:v>114</c:v>
                </c:pt>
                <c:pt idx="478">
                  <c:v>126</c:v>
                </c:pt>
                <c:pt idx="479">
                  <c:v>132</c:v>
                </c:pt>
                <c:pt idx="480">
                  <c:v>158</c:v>
                </c:pt>
                <c:pt idx="481">
                  <c:v>123</c:v>
                </c:pt>
                <c:pt idx="482">
                  <c:v>85</c:v>
                </c:pt>
                <c:pt idx="483">
                  <c:v>84</c:v>
                </c:pt>
                <c:pt idx="484">
                  <c:v>145</c:v>
                </c:pt>
                <c:pt idx="485">
                  <c:v>135</c:v>
                </c:pt>
                <c:pt idx="486">
                  <c:v>139</c:v>
                </c:pt>
                <c:pt idx="487">
                  <c:v>173</c:v>
                </c:pt>
                <c:pt idx="488">
                  <c:v>99</c:v>
                </c:pt>
                <c:pt idx="489">
                  <c:v>194</c:v>
                </c:pt>
                <c:pt idx="490">
                  <c:v>83</c:v>
                </c:pt>
                <c:pt idx="491">
                  <c:v>89</c:v>
                </c:pt>
                <c:pt idx="492">
                  <c:v>99</c:v>
                </c:pt>
                <c:pt idx="493">
                  <c:v>125</c:v>
                </c:pt>
                <c:pt idx="494">
                  <c:v>80</c:v>
                </c:pt>
                <c:pt idx="495">
                  <c:v>166</c:v>
                </c:pt>
                <c:pt idx="496">
                  <c:v>110</c:v>
                </c:pt>
                <c:pt idx="497">
                  <c:v>81</c:v>
                </c:pt>
                <c:pt idx="498">
                  <c:v>195</c:v>
                </c:pt>
                <c:pt idx="499">
                  <c:v>154</c:v>
                </c:pt>
                <c:pt idx="500">
                  <c:v>117</c:v>
                </c:pt>
                <c:pt idx="501">
                  <c:v>84</c:v>
                </c:pt>
                <c:pt idx="502">
                  <c:v>0</c:v>
                </c:pt>
                <c:pt idx="503">
                  <c:v>94</c:v>
                </c:pt>
                <c:pt idx="504">
                  <c:v>96</c:v>
                </c:pt>
                <c:pt idx="505">
                  <c:v>75</c:v>
                </c:pt>
                <c:pt idx="506">
                  <c:v>180</c:v>
                </c:pt>
                <c:pt idx="507">
                  <c:v>130</c:v>
                </c:pt>
                <c:pt idx="508">
                  <c:v>84</c:v>
                </c:pt>
                <c:pt idx="509">
                  <c:v>120</c:v>
                </c:pt>
                <c:pt idx="510">
                  <c:v>84</c:v>
                </c:pt>
                <c:pt idx="511">
                  <c:v>139</c:v>
                </c:pt>
                <c:pt idx="512">
                  <c:v>91</c:v>
                </c:pt>
                <c:pt idx="513">
                  <c:v>91</c:v>
                </c:pt>
                <c:pt idx="514">
                  <c:v>99</c:v>
                </c:pt>
                <c:pt idx="515">
                  <c:v>163</c:v>
                </c:pt>
                <c:pt idx="516">
                  <c:v>145</c:v>
                </c:pt>
                <c:pt idx="517">
                  <c:v>125</c:v>
                </c:pt>
                <c:pt idx="518">
                  <c:v>76</c:v>
                </c:pt>
                <c:pt idx="519">
                  <c:v>129</c:v>
                </c:pt>
                <c:pt idx="520">
                  <c:v>68</c:v>
                </c:pt>
                <c:pt idx="521">
                  <c:v>124</c:v>
                </c:pt>
                <c:pt idx="522">
                  <c:v>114</c:v>
                </c:pt>
                <c:pt idx="523">
                  <c:v>130</c:v>
                </c:pt>
                <c:pt idx="524">
                  <c:v>125</c:v>
                </c:pt>
                <c:pt idx="525">
                  <c:v>87</c:v>
                </c:pt>
                <c:pt idx="526">
                  <c:v>97</c:v>
                </c:pt>
                <c:pt idx="527">
                  <c:v>116</c:v>
                </c:pt>
                <c:pt idx="528">
                  <c:v>117</c:v>
                </c:pt>
                <c:pt idx="529">
                  <c:v>111</c:v>
                </c:pt>
                <c:pt idx="530">
                  <c:v>122</c:v>
                </c:pt>
                <c:pt idx="531">
                  <c:v>107</c:v>
                </c:pt>
                <c:pt idx="532">
                  <c:v>86</c:v>
                </c:pt>
                <c:pt idx="533">
                  <c:v>91</c:v>
                </c:pt>
                <c:pt idx="534">
                  <c:v>77</c:v>
                </c:pt>
                <c:pt idx="535">
                  <c:v>132</c:v>
                </c:pt>
                <c:pt idx="536">
                  <c:v>105</c:v>
                </c:pt>
                <c:pt idx="537">
                  <c:v>57</c:v>
                </c:pt>
                <c:pt idx="538">
                  <c:v>127</c:v>
                </c:pt>
                <c:pt idx="539">
                  <c:v>129</c:v>
                </c:pt>
                <c:pt idx="540">
                  <c:v>100</c:v>
                </c:pt>
                <c:pt idx="541">
                  <c:v>128</c:v>
                </c:pt>
                <c:pt idx="542">
                  <c:v>90</c:v>
                </c:pt>
                <c:pt idx="543">
                  <c:v>84</c:v>
                </c:pt>
                <c:pt idx="544">
                  <c:v>88</c:v>
                </c:pt>
                <c:pt idx="545">
                  <c:v>186</c:v>
                </c:pt>
                <c:pt idx="546">
                  <c:v>187</c:v>
                </c:pt>
                <c:pt idx="547">
                  <c:v>131</c:v>
                </c:pt>
                <c:pt idx="548">
                  <c:v>164</c:v>
                </c:pt>
                <c:pt idx="549">
                  <c:v>189</c:v>
                </c:pt>
                <c:pt idx="550">
                  <c:v>116</c:v>
                </c:pt>
                <c:pt idx="551">
                  <c:v>84</c:v>
                </c:pt>
                <c:pt idx="552">
                  <c:v>114</c:v>
                </c:pt>
                <c:pt idx="553">
                  <c:v>88</c:v>
                </c:pt>
                <c:pt idx="554">
                  <c:v>84</c:v>
                </c:pt>
                <c:pt idx="555">
                  <c:v>124</c:v>
                </c:pt>
                <c:pt idx="556">
                  <c:v>97</c:v>
                </c:pt>
                <c:pt idx="557">
                  <c:v>110</c:v>
                </c:pt>
                <c:pt idx="558">
                  <c:v>103</c:v>
                </c:pt>
                <c:pt idx="559">
                  <c:v>85</c:v>
                </c:pt>
                <c:pt idx="560">
                  <c:v>125</c:v>
                </c:pt>
                <c:pt idx="561">
                  <c:v>198</c:v>
                </c:pt>
                <c:pt idx="562">
                  <c:v>87</c:v>
                </c:pt>
                <c:pt idx="563">
                  <c:v>99</c:v>
                </c:pt>
                <c:pt idx="564">
                  <c:v>91</c:v>
                </c:pt>
                <c:pt idx="565">
                  <c:v>95</c:v>
                </c:pt>
                <c:pt idx="566">
                  <c:v>99</c:v>
                </c:pt>
                <c:pt idx="567">
                  <c:v>92</c:v>
                </c:pt>
                <c:pt idx="568">
                  <c:v>154</c:v>
                </c:pt>
                <c:pt idx="569">
                  <c:v>121</c:v>
                </c:pt>
                <c:pt idx="570">
                  <c:v>78</c:v>
                </c:pt>
                <c:pt idx="571">
                  <c:v>130</c:v>
                </c:pt>
                <c:pt idx="572">
                  <c:v>111</c:v>
                </c:pt>
                <c:pt idx="573">
                  <c:v>98</c:v>
                </c:pt>
                <c:pt idx="574">
                  <c:v>143</c:v>
                </c:pt>
                <c:pt idx="575">
                  <c:v>119</c:v>
                </c:pt>
                <c:pt idx="576">
                  <c:v>108</c:v>
                </c:pt>
                <c:pt idx="577">
                  <c:v>118</c:v>
                </c:pt>
                <c:pt idx="578">
                  <c:v>133</c:v>
                </c:pt>
                <c:pt idx="579">
                  <c:v>197</c:v>
                </c:pt>
                <c:pt idx="580">
                  <c:v>151</c:v>
                </c:pt>
                <c:pt idx="581">
                  <c:v>109</c:v>
                </c:pt>
                <c:pt idx="582">
                  <c:v>121</c:v>
                </c:pt>
                <c:pt idx="583">
                  <c:v>100</c:v>
                </c:pt>
                <c:pt idx="584">
                  <c:v>124</c:v>
                </c:pt>
                <c:pt idx="585">
                  <c:v>93</c:v>
                </c:pt>
                <c:pt idx="586">
                  <c:v>143</c:v>
                </c:pt>
                <c:pt idx="587">
                  <c:v>103</c:v>
                </c:pt>
                <c:pt idx="588">
                  <c:v>176</c:v>
                </c:pt>
                <c:pt idx="589">
                  <c:v>73</c:v>
                </c:pt>
                <c:pt idx="590">
                  <c:v>111</c:v>
                </c:pt>
                <c:pt idx="591">
                  <c:v>112</c:v>
                </c:pt>
                <c:pt idx="592">
                  <c:v>132</c:v>
                </c:pt>
                <c:pt idx="593">
                  <c:v>82</c:v>
                </c:pt>
                <c:pt idx="594">
                  <c:v>123</c:v>
                </c:pt>
                <c:pt idx="595">
                  <c:v>188</c:v>
                </c:pt>
                <c:pt idx="596">
                  <c:v>67</c:v>
                </c:pt>
                <c:pt idx="597">
                  <c:v>89</c:v>
                </c:pt>
                <c:pt idx="598">
                  <c:v>173</c:v>
                </c:pt>
                <c:pt idx="599">
                  <c:v>109</c:v>
                </c:pt>
                <c:pt idx="600">
                  <c:v>108</c:v>
                </c:pt>
                <c:pt idx="601">
                  <c:v>96</c:v>
                </c:pt>
                <c:pt idx="602">
                  <c:v>124</c:v>
                </c:pt>
                <c:pt idx="603">
                  <c:v>150</c:v>
                </c:pt>
                <c:pt idx="604">
                  <c:v>183</c:v>
                </c:pt>
                <c:pt idx="605">
                  <c:v>124</c:v>
                </c:pt>
                <c:pt idx="606">
                  <c:v>181</c:v>
                </c:pt>
                <c:pt idx="607">
                  <c:v>92</c:v>
                </c:pt>
                <c:pt idx="608">
                  <c:v>152</c:v>
                </c:pt>
                <c:pt idx="609">
                  <c:v>111</c:v>
                </c:pt>
                <c:pt idx="610">
                  <c:v>106</c:v>
                </c:pt>
                <c:pt idx="611">
                  <c:v>174</c:v>
                </c:pt>
                <c:pt idx="612">
                  <c:v>168</c:v>
                </c:pt>
                <c:pt idx="613">
                  <c:v>105</c:v>
                </c:pt>
                <c:pt idx="614">
                  <c:v>138</c:v>
                </c:pt>
                <c:pt idx="615">
                  <c:v>106</c:v>
                </c:pt>
                <c:pt idx="616">
                  <c:v>117</c:v>
                </c:pt>
                <c:pt idx="617">
                  <c:v>68</c:v>
                </c:pt>
                <c:pt idx="618">
                  <c:v>112</c:v>
                </c:pt>
                <c:pt idx="619">
                  <c:v>119</c:v>
                </c:pt>
                <c:pt idx="620">
                  <c:v>112</c:v>
                </c:pt>
                <c:pt idx="621">
                  <c:v>92</c:v>
                </c:pt>
                <c:pt idx="622">
                  <c:v>183</c:v>
                </c:pt>
                <c:pt idx="623">
                  <c:v>94</c:v>
                </c:pt>
                <c:pt idx="624">
                  <c:v>108</c:v>
                </c:pt>
                <c:pt idx="625">
                  <c:v>90</c:v>
                </c:pt>
                <c:pt idx="626">
                  <c:v>125</c:v>
                </c:pt>
                <c:pt idx="627">
                  <c:v>132</c:v>
                </c:pt>
                <c:pt idx="628">
                  <c:v>128</c:v>
                </c:pt>
                <c:pt idx="629">
                  <c:v>94</c:v>
                </c:pt>
                <c:pt idx="630">
                  <c:v>114</c:v>
                </c:pt>
                <c:pt idx="631">
                  <c:v>102</c:v>
                </c:pt>
                <c:pt idx="632">
                  <c:v>111</c:v>
                </c:pt>
                <c:pt idx="633">
                  <c:v>128</c:v>
                </c:pt>
                <c:pt idx="634">
                  <c:v>92</c:v>
                </c:pt>
                <c:pt idx="635">
                  <c:v>104</c:v>
                </c:pt>
                <c:pt idx="636">
                  <c:v>104</c:v>
                </c:pt>
                <c:pt idx="637">
                  <c:v>94</c:v>
                </c:pt>
                <c:pt idx="638">
                  <c:v>97</c:v>
                </c:pt>
                <c:pt idx="639">
                  <c:v>100</c:v>
                </c:pt>
                <c:pt idx="640">
                  <c:v>102</c:v>
                </c:pt>
                <c:pt idx="641">
                  <c:v>128</c:v>
                </c:pt>
                <c:pt idx="642">
                  <c:v>147</c:v>
                </c:pt>
                <c:pt idx="643">
                  <c:v>90</c:v>
                </c:pt>
                <c:pt idx="644">
                  <c:v>103</c:v>
                </c:pt>
                <c:pt idx="645">
                  <c:v>157</c:v>
                </c:pt>
                <c:pt idx="646">
                  <c:v>167</c:v>
                </c:pt>
                <c:pt idx="647">
                  <c:v>179</c:v>
                </c:pt>
                <c:pt idx="648">
                  <c:v>136</c:v>
                </c:pt>
                <c:pt idx="649">
                  <c:v>107</c:v>
                </c:pt>
                <c:pt idx="650">
                  <c:v>91</c:v>
                </c:pt>
                <c:pt idx="651">
                  <c:v>117</c:v>
                </c:pt>
                <c:pt idx="652">
                  <c:v>123</c:v>
                </c:pt>
                <c:pt idx="653">
                  <c:v>120</c:v>
                </c:pt>
                <c:pt idx="654">
                  <c:v>106</c:v>
                </c:pt>
                <c:pt idx="655">
                  <c:v>155</c:v>
                </c:pt>
                <c:pt idx="656">
                  <c:v>101</c:v>
                </c:pt>
                <c:pt idx="657">
                  <c:v>120</c:v>
                </c:pt>
                <c:pt idx="658">
                  <c:v>127</c:v>
                </c:pt>
                <c:pt idx="659">
                  <c:v>80</c:v>
                </c:pt>
                <c:pt idx="660">
                  <c:v>162</c:v>
                </c:pt>
                <c:pt idx="661">
                  <c:v>199</c:v>
                </c:pt>
                <c:pt idx="662">
                  <c:v>167</c:v>
                </c:pt>
                <c:pt idx="663">
                  <c:v>145</c:v>
                </c:pt>
                <c:pt idx="664">
                  <c:v>115</c:v>
                </c:pt>
                <c:pt idx="665">
                  <c:v>112</c:v>
                </c:pt>
                <c:pt idx="666">
                  <c:v>145</c:v>
                </c:pt>
                <c:pt idx="667">
                  <c:v>111</c:v>
                </c:pt>
                <c:pt idx="668">
                  <c:v>98</c:v>
                </c:pt>
                <c:pt idx="669">
                  <c:v>154</c:v>
                </c:pt>
                <c:pt idx="670">
                  <c:v>165</c:v>
                </c:pt>
                <c:pt idx="671">
                  <c:v>99</c:v>
                </c:pt>
                <c:pt idx="672">
                  <c:v>68</c:v>
                </c:pt>
                <c:pt idx="673">
                  <c:v>123</c:v>
                </c:pt>
                <c:pt idx="674">
                  <c:v>91</c:v>
                </c:pt>
                <c:pt idx="675">
                  <c:v>195</c:v>
                </c:pt>
                <c:pt idx="676">
                  <c:v>156</c:v>
                </c:pt>
                <c:pt idx="677">
                  <c:v>93</c:v>
                </c:pt>
                <c:pt idx="678">
                  <c:v>121</c:v>
                </c:pt>
                <c:pt idx="679">
                  <c:v>101</c:v>
                </c:pt>
                <c:pt idx="680">
                  <c:v>56</c:v>
                </c:pt>
                <c:pt idx="681">
                  <c:v>162</c:v>
                </c:pt>
                <c:pt idx="682">
                  <c:v>95</c:v>
                </c:pt>
                <c:pt idx="683">
                  <c:v>125</c:v>
                </c:pt>
                <c:pt idx="684">
                  <c:v>136</c:v>
                </c:pt>
                <c:pt idx="685">
                  <c:v>129</c:v>
                </c:pt>
                <c:pt idx="686">
                  <c:v>130</c:v>
                </c:pt>
                <c:pt idx="687">
                  <c:v>107</c:v>
                </c:pt>
                <c:pt idx="688">
                  <c:v>140</c:v>
                </c:pt>
                <c:pt idx="689">
                  <c:v>144</c:v>
                </c:pt>
                <c:pt idx="690">
                  <c:v>107</c:v>
                </c:pt>
                <c:pt idx="691">
                  <c:v>158</c:v>
                </c:pt>
                <c:pt idx="692">
                  <c:v>121</c:v>
                </c:pt>
                <c:pt idx="693">
                  <c:v>129</c:v>
                </c:pt>
                <c:pt idx="694">
                  <c:v>90</c:v>
                </c:pt>
                <c:pt idx="695">
                  <c:v>142</c:v>
                </c:pt>
                <c:pt idx="696">
                  <c:v>169</c:v>
                </c:pt>
                <c:pt idx="697">
                  <c:v>99</c:v>
                </c:pt>
                <c:pt idx="698">
                  <c:v>127</c:v>
                </c:pt>
                <c:pt idx="699">
                  <c:v>118</c:v>
                </c:pt>
                <c:pt idx="700">
                  <c:v>122</c:v>
                </c:pt>
                <c:pt idx="701">
                  <c:v>125</c:v>
                </c:pt>
                <c:pt idx="702">
                  <c:v>168</c:v>
                </c:pt>
                <c:pt idx="703">
                  <c:v>129</c:v>
                </c:pt>
                <c:pt idx="704">
                  <c:v>110</c:v>
                </c:pt>
                <c:pt idx="705">
                  <c:v>80</c:v>
                </c:pt>
                <c:pt idx="706">
                  <c:v>115</c:v>
                </c:pt>
                <c:pt idx="707">
                  <c:v>127</c:v>
                </c:pt>
                <c:pt idx="708">
                  <c:v>164</c:v>
                </c:pt>
                <c:pt idx="709">
                  <c:v>93</c:v>
                </c:pt>
                <c:pt idx="710">
                  <c:v>158</c:v>
                </c:pt>
                <c:pt idx="711">
                  <c:v>126</c:v>
                </c:pt>
                <c:pt idx="712">
                  <c:v>129</c:v>
                </c:pt>
                <c:pt idx="713">
                  <c:v>134</c:v>
                </c:pt>
                <c:pt idx="714">
                  <c:v>102</c:v>
                </c:pt>
                <c:pt idx="715">
                  <c:v>187</c:v>
                </c:pt>
                <c:pt idx="716">
                  <c:v>173</c:v>
                </c:pt>
                <c:pt idx="717">
                  <c:v>94</c:v>
                </c:pt>
                <c:pt idx="718">
                  <c:v>108</c:v>
                </c:pt>
                <c:pt idx="719">
                  <c:v>97</c:v>
                </c:pt>
                <c:pt idx="720">
                  <c:v>83</c:v>
                </c:pt>
                <c:pt idx="721">
                  <c:v>114</c:v>
                </c:pt>
                <c:pt idx="722">
                  <c:v>149</c:v>
                </c:pt>
                <c:pt idx="723">
                  <c:v>117</c:v>
                </c:pt>
                <c:pt idx="724">
                  <c:v>111</c:v>
                </c:pt>
                <c:pt idx="725">
                  <c:v>112</c:v>
                </c:pt>
                <c:pt idx="726">
                  <c:v>116</c:v>
                </c:pt>
                <c:pt idx="727">
                  <c:v>141</c:v>
                </c:pt>
                <c:pt idx="728">
                  <c:v>175</c:v>
                </c:pt>
                <c:pt idx="729">
                  <c:v>92</c:v>
                </c:pt>
                <c:pt idx="730">
                  <c:v>130</c:v>
                </c:pt>
                <c:pt idx="731">
                  <c:v>120</c:v>
                </c:pt>
                <c:pt idx="732">
                  <c:v>174</c:v>
                </c:pt>
                <c:pt idx="733">
                  <c:v>106</c:v>
                </c:pt>
                <c:pt idx="734">
                  <c:v>105</c:v>
                </c:pt>
                <c:pt idx="735">
                  <c:v>95</c:v>
                </c:pt>
                <c:pt idx="736">
                  <c:v>126</c:v>
                </c:pt>
                <c:pt idx="737">
                  <c:v>65</c:v>
                </c:pt>
                <c:pt idx="738">
                  <c:v>99</c:v>
                </c:pt>
                <c:pt idx="739">
                  <c:v>102</c:v>
                </c:pt>
                <c:pt idx="740">
                  <c:v>120</c:v>
                </c:pt>
                <c:pt idx="741">
                  <c:v>102</c:v>
                </c:pt>
                <c:pt idx="742">
                  <c:v>109</c:v>
                </c:pt>
                <c:pt idx="743">
                  <c:v>140</c:v>
                </c:pt>
                <c:pt idx="744">
                  <c:v>153</c:v>
                </c:pt>
                <c:pt idx="745">
                  <c:v>100</c:v>
                </c:pt>
                <c:pt idx="746">
                  <c:v>147</c:v>
                </c:pt>
                <c:pt idx="747">
                  <c:v>81</c:v>
                </c:pt>
                <c:pt idx="748">
                  <c:v>187</c:v>
                </c:pt>
                <c:pt idx="749">
                  <c:v>162</c:v>
                </c:pt>
                <c:pt idx="750">
                  <c:v>136</c:v>
                </c:pt>
                <c:pt idx="751">
                  <c:v>121</c:v>
                </c:pt>
                <c:pt idx="752">
                  <c:v>108</c:v>
                </c:pt>
                <c:pt idx="753">
                  <c:v>181</c:v>
                </c:pt>
                <c:pt idx="754">
                  <c:v>154</c:v>
                </c:pt>
                <c:pt idx="755">
                  <c:v>128</c:v>
                </c:pt>
                <c:pt idx="756">
                  <c:v>137</c:v>
                </c:pt>
                <c:pt idx="757">
                  <c:v>123</c:v>
                </c:pt>
                <c:pt idx="758">
                  <c:v>106</c:v>
                </c:pt>
                <c:pt idx="759">
                  <c:v>190</c:v>
                </c:pt>
                <c:pt idx="760">
                  <c:v>88</c:v>
                </c:pt>
                <c:pt idx="761">
                  <c:v>170</c:v>
                </c:pt>
                <c:pt idx="762">
                  <c:v>89</c:v>
                </c:pt>
                <c:pt idx="763">
                  <c:v>101</c:v>
                </c:pt>
                <c:pt idx="764">
                  <c:v>122</c:v>
                </c:pt>
                <c:pt idx="765">
                  <c:v>121</c:v>
                </c:pt>
                <c:pt idx="766">
                  <c:v>126</c:v>
                </c:pt>
                <c:pt idx="767">
                  <c:v>93</c:v>
                </c:pt>
              </c:numCache>
            </c:numRef>
          </c:xVal>
          <c:yVal>
            <c:numRef>
              <c:f>pima!$F$2:$F$769</c:f>
              <c:numCache>
                <c:formatCode>General</c:formatCode>
                <c:ptCount val="768"/>
                <c:pt idx="0">
                  <c:v>33.6</c:v>
                </c:pt>
                <c:pt idx="1">
                  <c:v>26.6</c:v>
                </c:pt>
                <c:pt idx="2">
                  <c:v>23.3</c:v>
                </c:pt>
                <c:pt idx="3">
                  <c:v>28.1</c:v>
                </c:pt>
                <c:pt idx="4">
                  <c:v>43.1</c:v>
                </c:pt>
                <c:pt idx="5">
                  <c:v>25.6</c:v>
                </c:pt>
                <c:pt idx="6">
                  <c:v>31</c:v>
                </c:pt>
                <c:pt idx="7">
                  <c:v>35.299999999999997</c:v>
                </c:pt>
                <c:pt idx="8">
                  <c:v>30.5</c:v>
                </c:pt>
                <c:pt idx="9">
                  <c:v>0</c:v>
                </c:pt>
                <c:pt idx="10">
                  <c:v>37.6</c:v>
                </c:pt>
                <c:pt idx="11">
                  <c:v>38</c:v>
                </c:pt>
                <c:pt idx="12">
                  <c:v>27.1</c:v>
                </c:pt>
                <c:pt idx="13">
                  <c:v>30.1</c:v>
                </c:pt>
                <c:pt idx="14">
                  <c:v>25.8</c:v>
                </c:pt>
                <c:pt idx="15">
                  <c:v>30</c:v>
                </c:pt>
                <c:pt idx="16">
                  <c:v>45.8</c:v>
                </c:pt>
                <c:pt idx="17">
                  <c:v>29.6</c:v>
                </c:pt>
                <c:pt idx="18">
                  <c:v>43.3</c:v>
                </c:pt>
                <c:pt idx="19">
                  <c:v>34.6</c:v>
                </c:pt>
                <c:pt idx="20">
                  <c:v>39.299999999999997</c:v>
                </c:pt>
                <c:pt idx="21">
                  <c:v>35.4</c:v>
                </c:pt>
                <c:pt idx="22">
                  <c:v>39.799999999999997</c:v>
                </c:pt>
                <c:pt idx="23">
                  <c:v>29</c:v>
                </c:pt>
                <c:pt idx="24">
                  <c:v>36.6</c:v>
                </c:pt>
                <c:pt idx="25">
                  <c:v>31.1</c:v>
                </c:pt>
                <c:pt idx="26">
                  <c:v>39.4</c:v>
                </c:pt>
                <c:pt idx="27">
                  <c:v>23.2</c:v>
                </c:pt>
                <c:pt idx="28">
                  <c:v>22.2</c:v>
                </c:pt>
                <c:pt idx="29">
                  <c:v>34.1</c:v>
                </c:pt>
                <c:pt idx="30">
                  <c:v>36</c:v>
                </c:pt>
                <c:pt idx="31">
                  <c:v>31.6</c:v>
                </c:pt>
                <c:pt idx="32">
                  <c:v>24.8</c:v>
                </c:pt>
                <c:pt idx="33">
                  <c:v>19.899999999999999</c:v>
                </c:pt>
                <c:pt idx="34">
                  <c:v>27.6</c:v>
                </c:pt>
                <c:pt idx="35">
                  <c:v>24</c:v>
                </c:pt>
                <c:pt idx="36">
                  <c:v>33.200000000000003</c:v>
                </c:pt>
                <c:pt idx="37">
                  <c:v>32.9</c:v>
                </c:pt>
                <c:pt idx="38">
                  <c:v>38.200000000000003</c:v>
                </c:pt>
                <c:pt idx="39">
                  <c:v>37.1</c:v>
                </c:pt>
                <c:pt idx="40">
                  <c:v>34</c:v>
                </c:pt>
                <c:pt idx="41">
                  <c:v>40.200000000000003</c:v>
                </c:pt>
                <c:pt idx="42">
                  <c:v>22.7</c:v>
                </c:pt>
                <c:pt idx="43">
                  <c:v>45.4</c:v>
                </c:pt>
                <c:pt idx="44">
                  <c:v>27.4</c:v>
                </c:pt>
                <c:pt idx="45">
                  <c:v>42</c:v>
                </c:pt>
                <c:pt idx="46">
                  <c:v>29.7</c:v>
                </c:pt>
                <c:pt idx="47">
                  <c:v>28</c:v>
                </c:pt>
                <c:pt idx="48">
                  <c:v>39.1</c:v>
                </c:pt>
                <c:pt idx="49">
                  <c:v>0</c:v>
                </c:pt>
                <c:pt idx="50">
                  <c:v>19.399999999999999</c:v>
                </c:pt>
                <c:pt idx="51">
                  <c:v>24.2</c:v>
                </c:pt>
                <c:pt idx="52">
                  <c:v>24.4</c:v>
                </c:pt>
                <c:pt idx="53">
                  <c:v>33.700000000000003</c:v>
                </c:pt>
                <c:pt idx="54">
                  <c:v>34.700000000000003</c:v>
                </c:pt>
                <c:pt idx="55">
                  <c:v>23</c:v>
                </c:pt>
                <c:pt idx="56">
                  <c:v>37.700000000000003</c:v>
                </c:pt>
                <c:pt idx="57">
                  <c:v>46.8</c:v>
                </c:pt>
                <c:pt idx="58">
                  <c:v>40.5</c:v>
                </c:pt>
                <c:pt idx="59">
                  <c:v>41.5</c:v>
                </c:pt>
                <c:pt idx="60">
                  <c:v>0</c:v>
                </c:pt>
                <c:pt idx="61">
                  <c:v>32.9</c:v>
                </c:pt>
                <c:pt idx="62">
                  <c:v>25</c:v>
                </c:pt>
                <c:pt idx="63">
                  <c:v>25.4</c:v>
                </c:pt>
                <c:pt idx="64">
                  <c:v>32.799999999999997</c:v>
                </c:pt>
                <c:pt idx="65">
                  <c:v>29</c:v>
                </c:pt>
                <c:pt idx="66">
                  <c:v>32.5</c:v>
                </c:pt>
                <c:pt idx="67">
                  <c:v>42.7</c:v>
                </c:pt>
                <c:pt idx="68">
                  <c:v>19.600000000000001</c:v>
                </c:pt>
                <c:pt idx="69">
                  <c:v>28.9</c:v>
                </c:pt>
                <c:pt idx="70">
                  <c:v>32.9</c:v>
                </c:pt>
                <c:pt idx="71">
                  <c:v>28.6</c:v>
                </c:pt>
                <c:pt idx="72">
                  <c:v>43.4</c:v>
                </c:pt>
                <c:pt idx="73">
                  <c:v>35.1</c:v>
                </c:pt>
                <c:pt idx="74">
                  <c:v>32</c:v>
                </c:pt>
                <c:pt idx="75">
                  <c:v>24.7</c:v>
                </c:pt>
                <c:pt idx="76">
                  <c:v>32.6</c:v>
                </c:pt>
                <c:pt idx="77">
                  <c:v>37.700000000000003</c:v>
                </c:pt>
                <c:pt idx="78">
                  <c:v>43.2</c:v>
                </c:pt>
                <c:pt idx="79">
                  <c:v>25</c:v>
                </c:pt>
                <c:pt idx="80">
                  <c:v>22.4</c:v>
                </c:pt>
                <c:pt idx="81">
                  <c:v>0</c:v>
                </c:pt>
                <c:pt idx="82">
                  <c:v>29.3</c:v>
                </c:pt>
                <c:pt idx="83">
                  <c:v>24.6</c:v>
                </c:pt>
                <c:pt idx="84">
                  <c:v>48.8</c:v>
                </c:pt>
                <c:pt idx="85">
                  <c:v>32.4</c:v>
                </c:pt>
                <c:pt idx="86">
                  <c:v>36.6</c:v>
                </c:pt>
                <c:pt idx="87">
                  <c:v>38.5</c:v>
                </c:pt>
                <c:pt idx="88">
                  <c:v>37.1</c:v>
                </c:pt>
                <c:pt idx="89">
                  <c:v>26.5</c:v>
                </c:pt>
                <c:pt idx="90">
                  <c:v>19.100000000000001</c:v>
                </c:pt>
                <c:pt idx="91">
                  <c:v>32</c:v>
                </c:pt>
                <c:pt idx="92">
                  <c:v>46.7</c:v>
                </c:pt>
                <c:pt idx="93">
                  <c:v>23.8</c:v>
                </c:pt>
                <c:pt idx="94">
                  <c:v>24.7</c:v>
                </c:pt>
                <c:pt idx="95">
                  <c:v>33.9</c:v>
                </c:pt>
                <c:pt idx="96">
                  <c:v>31.6</c:v>
                </c:pt>
                <c:pt idx="97">
                  <c:v>20.399999999999999</c:v>
                </c:pt>
                <c:pt idx="98">
                  <c:v>28.7</c:v>
                </c:pt>
                <c:pt idx="99">
                  <c:v>49.7</c:v>
                </c:pt>
                <c:pt idx="100">
                  <c:v>39</c:v>
                </c:pt>
                <c:pt idx="101">
                  <c:v>26.1</c:v>
                </c:pt>
                <c:pt idx="102">
                  <c:v>22.5</c:v>
                </c:pt>
                <c:pt idx="103">
                  <c:v>26.6</c:v>
                </c:pt>
                <c:pt idx="104">
                  <c:v>39.6</c:v>
                </c:pt>
                <c:pt idx="105">
                  <c:v>28.7</c:v>
                </c:pt>
                <c:pt idx="106">
                  <c:v>22.4</c:v>
                </c:pt>
                <c:pt idx="107">
                  <c:v>29.5</c:v>
                </c:pt>
                <c:pt idx="108">
                  <c:v>34.299999999999997</c:v>
                </c:pt>
                <c:pt idx="109">
                  <c:v>37.4</c:v>
                </c:pt>
                <c:pt idx="110">
                  <c:v>33.299999999999997</c:v>
                </c:pt>
                <c:pt idx="111">
                  <c:v>34</c:v>
                </c:pt>
                <c:pt idx="112">
                  <c:v>31.2</c:v>
                </c:pt>
                <c:pt idx="113">
                  <c:v>34</c:v>
                </c:pt>
                <c:pt idx="114">
                  <c:v>30.5</c:v>
                </c:pt>
                <c:pt idx="115">
                  <c:v>31.2</c:v>
                </c:pt>
                <c:pt idx="116">
                  <c:v>34</c:v>
                </c:pt>
                <c:pt idx="117">
                  <c:v>33.700000000000003</c:v>
                </c:pt>
                <c:pt idx="118">
                  <c:v>28.2</c:v>
                </c:pt>
                <c:pt idx="119">
                  <c:v>23.2</c:v>
                </c:pt>
                <c:pt idx="120">
                  <c:v>53.2</c:v>
                </c:pt>
                <c:pt idx="121">
                  <c:v>34.200000000000003</c:v>
                </c:pt>
                <c:pt idx="122">
                  <c:v>33.6</c:v>
                </c:pt>
                <c:pt idx="123">
                  <c:v>26.8</c:v>
                </c:pt>
                <c:pt idx="124">
                  <c:v>33.299999999999997</c:v>
                </c:pt>
                <c:pt idx="125">
                  <c:v>55</c:v>
                </c:pt>
                <c:pt idx="126">
                  <c:v>42.9</c:v>
                </c:pt>
                <c:pt idx="127">
                  <c:v>33.299999999999997</c:v>
                </c:pt>
                <c:pt idx="128">
                  <c:v>34.5</c:v>
                </c:pt>
                <c:pt idx="129">
                  <c:v>27.9</c:v>
                </c:pt>
                <c:pt idx="130">
                  <c:v>29.7</c:v>
                </c:pt>
                <c:pt idx="131">
                  <c:v>33.299999999999997</c:v>
                </c:pt>
                <c:pt idx="132">
                  <c:v>34.5</c:v>
                </c:pt>
                <c:pt idx="133">
                  <c:v>38.299999999999997</c:v>
                </c:pt>
                <c:pt idx="134">
                  <c:v>21.1</c:v>
                </c:pt>
                <c:pt idx="135">
                  <c:v>33.799999999999997</c:v>
                </c:pt>
                <c:pt idx="136">
                  <c:v>30.8</c:v>
                </c:pt>
                <c:pt idx="137">
                  <c:v>28.7</c:v>
                </c:pt>
                <c:pt idx="138">
                  <c:v>31.2</c:v>
                </c:pt>
                <c:pt idx="139">
                  <c:v>36.9</c:v>
                </c:pt>
                <c:pt idx="140">
                  <c:v>21.1</c:v>
                </c:pt>
                <c:pt idx="141">
                  <c:v>39.5</c:v>
                </c:pt>
                <c:pt idx="142">
                  <c:v>32.5</c:v>
                </c:pt>
                <c:pt idx="143">
                  <c:v>32.4</c:v>
                </c:pt>
                <c:pt idx="144">
                  <c:v>32.799999999999997</c:v>
                </c:pt>
                <c:pt idx="145">
                  <c:v>0</c:v>
                </c:pt>
                <c:pt idx="146">
                  <c:v>32.799999999999997</c:v>
                </c:pt>
                <c:pt idx="147">
                  <c:v>30.5</c:v>
                </c:pt>
                <c:pt idx="148">
                  <c:v>33.700000000000003</c:v>
                </c:pt>
                <c:pt idx="149">
                  <c:v>27.3</c:v>
                </c:pt>
                <c:pt idx="150">
                  <c:v>37.4</c:v>
                </c:pt>
                <c:pt idx="151">
                  <c:v>21.9</c:v>
                </c:pt>
                <c:pt idx="152">
                  <c:v>34.299999999999997</c:v>
                </c:pt>
                <c:pt idx="153">
                  <c:v>40.6</c:v>
                </c:pt>
                <c:pt idx="154">
                  <c:v>47.9</c:v>
                </c:pt>
                <c:pt idx="155">
                  <c:v>50</c:v>
                </c:pt>
                <c:pt idx="156">
                  <c:v>24.6</c:v>
                </c:pt>
                <c:pt idx="157">
                  <c:v>25.2</c:v>
                </c:pt>
                <c:pt idx="158">
                  <c:v>29</c:v>
                </c:pt>
                <c:pt idx="159">
                  <c:v>40.9</c:v>
                </c:pt>
                <c:pt idx="160">
                  <c:v>29.7</c:v>
                </c:pt>
                <c:pt idx="161">
                  <c:v>37.200000000000003</c:v>
                </c:pt>
                <c:pt idx="162">
                  <c:v>44.2</c:v>
                </c:pt>
                <c:pt idx="163">
                  <c:v>29.7</c:v>
                </c:pt>
                <c:pt idx="164">
                  <c:v>31.6</c:v>
                </c:pt>
                <c:pt idx="165">
                  <c:v>29.9</c:v>
                </c:pt>
                <c:pt idx="166">
                  <c:v>32.5</c:v>
                </c:pt>
                <c:pt idx="167">
                  <c:v>29.6</c:v>
                </c:pt>
                <c:pt idx="168">
                  <c:v>31.9</c:v>
                </c:pt>
                <c:pt idx="169">
                  <c:v>28.4</c:v>
                </c:pt>
                <c:pt idx="170">
                  <c:v>30.8</c:v>
                </c:pt>
                <c:pt idx="171">
                  <c:v>35.4</c:v>
                </c:pt>
                <c:pt idx="172">
                  <c:v>28.9</c:v>
                </c:pt>
                <c:pt idx="173">
                  <c:v>43.5</c:v>
                </c:pt>
                <c:pt idx="174">
                  <c:v>29.7</c:v>
                </c:pt>
                <c:pt idx="175">
                  <c:v>32.700000000000003</c:v>
                </c:pt>
                <c:pt idx="176">
                  <c:v>31.2</c:v>
                </c:pt>
                <c:pt idx="177">
                  <c:v>67.099999999999994</c:v>
                </c:pt>
                <c:pt idx="178">
                  <c:v>45</c:v>
                </c:pt>
                <c:pt idx="179">
                  <c:v>39.1</c:v>
                </c:pt>
                <c:pt idx="180">
                  <c:v>23.2</c:v>
                </c:pt>
                <c:pt idx="181">
                  <c:v>34.9</c:v>
                </c:pt>
                <c:pt idx="182">
                  <c:v>27.7</c:v>
                </c:pt>
                <c:pt idx="183">
                  <c:v>26.8</c:v>
                </c:pt>
                <c:pt idx="184">
                  <c:v>27.6</c:v>
                </c:pt>
                <c:pt idx="185">
                  <c:v>35.9</c:v>
                </c:pt>
                <c:pt idx="186">
                  <c:v>30.1</c:v>
                </c:pt>
                <c:pt idx="187">
                  <c:v>32</c:v>
                </c:pt>
                <c:pt idx="188">
                  <c:v>27.9</c:v>
                </c:pt>
                <c:pt idx="189">
                  <c:v>31.6</c:v>
                </c:pt>
                <c:pt idx="190">
                  <c:v>22.6</c:v>
                </c:pt>
                <c:pt idx="191">
                  <c:v>33.1</c:v>
                </c:pt>
                <c:pt idx="192">
                  <c:v>30.4</c:v>
                </c:pt>
                <c:pt idx="193">
                  <c:v>52.3</c:v>
                </c:pt>
                <c:pt idx="194">
                  <c:v>24.4</c:v>
                </c:pt>
                <c:pt idx="195">
                  <c:v>39.4</c:v>
                </c:pt>
                <c:pt idx="196">
                  <c:v>24.3</c:v>
                </c:pt>
                <c:pt idx="197">
                  <c:v>22.9</c:v>
                </c:pt>
                <c:pt idx="198">
                  <c:v>34.799999999999997</c:v>
                </c:pt>
                <c:pt idx="199">
                  <c:v>30.9</c:v>
                </c:pt>
                <c:pt idx="200">
                  <c:v>31</c:v>
                </c:pt>
                <c:pt idx="201">
                  <c:v>40.1</c:v>
                </c:pt>
                <c:pt idx="202">
                  <c:v>27.3</c:v>
                </c:pt>
                <c:pt idx="203">
                  <c:v>20.399999999999999</c:v>
                </c:pt>
                <c:pt idx="204">
                  <c:v>37.700000000000003</c:v>
                </c:pt>
                <c:pt idx="205">
                  <c:v>23.9</c:v>
                </c:pt>
                <c:pt idx="206">
                  <c:v>37.5</c:v>
                </c:pt>
                <c:pt idx="207">
                  <c:v>37.700000000000003</c:v>
                </c:pt>
                <c:pt idx="208">
                  <c:v>33.200000000000003</c:v>
                </c:pt>
                <c:pt idx="209">
                  <c:v>35.5</c:v>
                </c:pt>
                <c:pt idx="210">
                  <c:v>27.7</c:v>
                </c:pt>
                <c:pt idx="211">
                  <c:v>42.8</c:v>
                </c:pt>
                <c:pt idx="212">
                  <c:v>34.200000000000003</c:v>
                </c:pt>
                <c:pt idx="213">
                  <c:v>42.6</c:v>
                </c:pt>
                <c:pt idx="214">
                  <c:v>34.200000000000003</c:v>
                </c:pt>
                <c:pt idx="215">
                  <c:v>41.8</c:v>
                </c:pt>
                <c:pt idx="216">
                  <c:v>35.799999999999997</c:v>
                </c:pt>
                <c:pt idx="217">
                  <c:v>30</c:v>
                </c:pt>
                <c:pt idx="218">
                  <c:v>29</c:v>
                </c:pt>
                <c:pt idx="219">
                  <c:v>37.799999999999997</c:v>
                </c:pt>
                <c:pt idx="220">
                  <c:v>34.6</c:v>
                </c:pt>
                <c:pt idx="221">
                  <c:v>31.6</c:v>
                </c:pt>
                <c:pt idx="222">
                  <c:v>25.2</c:v>
                </c:pt>
                <c:pt idx="223">
                  <c:v>28.8</c:v>
                </c:pt>
                <c:pt idx="224">
                  <c:v>23.6</c:v>
                </c:pt>
                <c:pt idx="225">
                  <c:v>34.6</c:v>
                </c:pt>
                <c:pt idx="226">
                  <c:v>35.700000000000003</c:v>
                </c:pt>
                <c:pt idx="227">
                  <c:v>37.200000000000003</c:v>
                </c:pt>
                <c:pt idx="228">
                  <c:v>36.700000000000003</c:v>
                </c:pt>
                <c:pt idx="229">
                  <c:v>45.2</c:v>
                </c:pt>
                <c:pt idx="230">
                  <c:v>44</c:v>
                </c:pt>
                <c:pt idx="231">
                  <c:v>46.2</c:v>
                </c:pt>
                <c:pt idx="232">
                  <c:v>25.4</c:v>
                </c:pt>
                <c:pt idx="233">
                  <c:v>35</c:v>
                </c:pt>
                <c:pt idx="234">
                  <c:v>29.7</c:v>
                </c:pt>
                <c:pt idx="235">
                  <c:v>43.6</c:v>
                </c:pt>
                <c:pt idx="236">
                  <c:v>35.9</c:v>
                </c:pt>
                <c:pt idx="237">
                  <c:v>44.1</c:v>
                </c:pt>
                <c:pt idx="238">
                  <c:v>30.8</c:v>
                </c:pt>
                <c:pt idx="239">
                  <c:v>18.399999999999999</c:v>
                </c:pt>
                <c:pt idx="240">
                  <c:v>29.2</c:v>
                </c:pt>
                <c:pt idx="241">
                  <c:v>33.1</c:v>
                </c:pt>
                <c:pt idx="242">
                  <c:v>25.6</c:v>
                </c:pt>
                <c:pt idx="243">
                  <c:v>27.1</c:v>
                </c:pt>
                <c:pt idx="244">
                  <c:v>38.200000000000003</c:v>
                </c:pt>
                <c:pt idx="245">
                  <c:v>30</c:v>
                </c:pt>
                <c:pt idx="246">
                  <c:v>31.2</c:v>
                </c:pt>
                <c:pt idx="247">
                  <c:v>52.3</c:v>
                </c:pt>
                <c:pt idx="248">
                  <c:v>35.4</c:v>
                </c:pt>
                <c:pt idx="249">
                  <c:v>30.1</c:v>
                </c:pt>
                <c:pt idx="250">
                  <c:v>31.2</c:v>
                </c:pt>
                <c:pt idx="251">
                  <c:v>28</c:v>
                </c:pt>
                <c:pt idx="252">
                  <c:v>24.4</c:v>
                </c:pt>
                <c:pt idx="253">
                  <c:v>35.799999999999997</c:v>
                </c:pt>
                <c:pt idx="254">
                  <c:v>27.6</c:v>
                </c:pt>
                <c:pt idx="255">
                  <c:v>33.6</c:v>
                </c:pt>
                <c:pt idx="256">
                  <c:v>30.1</c:v>
                </c:pt>
                <c:pt idx="257">
                  <c:v>28.7</c:v>
                </c:pt>
                <c:pt idx="258">
                  <c:v>25.9</c:v>
                </c:pt>
                <c:pt idx="259">
                  <c:v>33.299999999999997</c:v>
                </c:pt>
                <c:pt idx="260">
                  <c:v>30.9</c:v>
                </c:pt>
                <c:pt idx="261">
                  <c:v>30</c:v>
                </c:pt>
                <c:pt idx="262">
                  <c:v>32.1</c:v>
                </c:pt>
                <c:pt idx="263">
                  <c:v>32.4</c:v>
                </c:pt>
                <c:pt idx="264">
                  <c:v>32</c:v>
                </c:pt>
                <c:pt idx="265">
                  <c:v>33.6</c:v>
                </c:pt>
                <c:pt idx="266">
                  <c:v>36.299999999999997</c:v>
                </c:pt>
                <c:pt idx="267">
                  <c:v>40</c:v>
                </c:pt>
                <c:pt idx="268">
                  <c:v>25.1</c:v>
                </c:pt>
                <c:pt idx="269">
                  <c:v>27.5</c:v>
                </c:pt>
                <c:pt idx="270">
                  <c:v>45.6</c:v>
                </c:pt>
                <c:pt idx="271">
                  <c:v>25.2</c:v>
                </c:pt>
                <c:pt idx="272">
                  <c:v>23</c:v>
                </c:pt>
                <c:pt idx="273">
                  <c:v>33.200000000000003</c:v>
                </c:pt>
                <c:pt idx="274">
                  <c:v>34.200000000000003</c:v>
                </c:pt>
                <c:pt idx="275">
                  <c:v>40.5</c:v>
                </c:pt>
                <c:pt idx="276">
                  <c:v>26.5</c:v>
                </c:pt>
                <c:pt idx="277">
                  <c:v>27.8</c:v>
                </c:pt>
                <c:pt idx="278">
                  <c:v>24.9</c:v>
                </c:pt>
                <c:pt idx="279">
                  <c:v>25.3</c:v>
                </c:pt>
                <c:pt idx="280">
                  <c:v>37.9</c:v>
                </c:pt>
                <c:pt idx="281">
                  <c:v>35.9</c:v>
                </c:pt>
                <c:pt idx="282">
                  <c:v>32.4</c:v>
                </c:pt>
                <c:pt idx="283">
                  <c:v>30.4</c:v>
                </c:pt>
                <c:pt idx="284">
                  <c:v>27</c:v>
                </c:pt>
                <c:pt idx="285">
                  <c:v>26</c:v>
                </c:pt>
                <c:pt idx="286">
                  <c:v>38.700000000000003</c:v>
                </c:pt>
                <c:pt idx="287">
                  <c:v>45.6</c:v>
                </c:pt>
                <c:pt idx="288">
                  <c:v>20.8</c:v>
                </c:pt>
                <c:pt idx="289">
                  <c:v>36.1</c:v>
                </c:pt>
                <c:pt idx="290">
                  <c:v>36.9</c:v>
                </c:pt>
                <c:pt idx="291">
                  <c:v>36.6</c:v>
                </c:pt>
                <c:pt idx="292">
                  <c:v>43.3</c:v>
                </c:pt>
                <c:pt idx="293">
                  <c:v>40.5</c:v>
                </c:pt>
                <c:pt idx="294">
                  <c:v>21.9</c:v>
                </c:pt>
                <c:pt idx="295">
                  <c:v>35.5</c:v>
                </c:pt>
                <c:pt idx="296">
                  <c:v>28</c:v>
                </c:pt>
                <c:pt idx="297">
                  <c:v>30.7</c:v>
                </c:pt>
                <c:pt idx="298">
                  <c:v>36.6</c:v>
                </c:pt>
                <c:pt idx="299">
                  <c:v>23.6</c:v>
                </c:pt>
                <c:pt idx="300">
                  <c:v>32.299999999999997</c:v>
                </c:pt>
                <c:pt idx="301">
                  <c:v>31.6</c:v>
                </c:pt>
                <c:pt idx="302">
                  <c:v>35.799999999999997</c:v>
                </c:pt>
                <c:pt idx="303">
                  <c:v>52.9</c:v>
                </c:pt>
                <c:pt idx="304">
                  <c:v>21</c:v>
                </c:pt>
                <c:pt idx="305">
                  <c:v>39.700000000000003</c:v>
                </c:pt>
                <c:pt idx="306">
                  <c:v>25.5</c:v>
                </c:pt>
                <c:pt idx="307">
                  <c:v>24.8</c:v>
                </c:pt>
                <c:pt idx="308">
                  <c:v>30.5</c:v>
                </c:pt>
                <c:pt idx="309">
                  <c:v>32.9</c:v>
                </c:pt>
                <c:pt idx="310">
                  <c:v>26.2</c:v>
                </c:pt>
                <c:pt idx="311">
                  <c:v>39.4</c:v>
                </c:pt>
                <c:pt idx="312">
                  <c:v>26.6</c:v>
                </c:pt>
                <c:pt idx="313">
                  <c:v>29.5</c:v>
                </c:pt>
                <c:pt idx="314">
                  <c:v>35.9</c:v>
                </c:pt>
                <c:pt idx="315">
                  <c:v>34.1</c:v>
                </c:pt>
                <c:pt idx="316">
                  <c:v>19.3</c:v>
                </c:pt>
                <c:pt idx="317">
                  <c:v>30.5</c:v>
                </c:pt>
                <c:pt idx="318">
                  <c:v>38.1</c:v>
                </c:pt>
                <c:pt idx="319">
                  <c:v>23.5</c:v>
                </c:pt>
                <c:pt idx="320">
                  <c:v>27.5</c:v>
                </c:pt>
                <c:pt idx="321">
                  <c:v>31.6</c:v>
                </c:pt>
                <c:pt idx="322">
                  <c:v>27.4</c:v>
                </c:pt>
                <c:pt idx="323">
                  <c:v>26.8</c:v>
                </c:pt>
                <c:pt idx="324">
                  <c:v>35.700000000000003</c:v>
                </c:pt>
                <c:pt idx="325">
                  <c:v>25.6</c:v>
                </c:pt>
                <c:pt idx="326">
                  <c:v>35.1</c:v>
                </c:pt>
                <c:pt idx="327">
                  <c:v>35.1</c:v>
                </c:pt>
                <c:pt idx="328">
                  <c:v>45.5</c:v>
                </c:pt>
                <c:pt idx="329">
                  <c:v>30.8</c:v>
                </c:pt>
                <c:pt idx="330">
                  <c:v>23.1</c:v>
                </c:pt>
                <c:pt idx="331">
                  <c:v>32.700000000000003</c:v>
                </c:pt>
                <c:pt idx="332">
                  <c:v>43.3</c:v>
                </c:pt>
                <c:pt idx="333">
                  <c:v>23.6</c:v>
                </c:pt>
                <c:pt idx="334">
                  <c:v>23.9</c:v>
                </c:pt>
                <c:pt idx="335">
                  <c:v>47.9</c:v>
                </c:pt>
                <c:pt idx="336">
                  <c:v>33.799999999999997</c:v>
                </c:pt>
                <c:pt idx="337">
                  <c:v>31.2</c:v>
                </c:pt>
                <c:pt idx="338">
                  <c:v>34.200000000000003</c:v>
                </c:pt>
                <c:pt idx="339">
                  <c:v>39.9</c:v>
                </c:pt>
                <c:pt idx="340">
                  <c:v>25.9</c:v>
                </c:pt>
                <c:pt idx="341">
                  <c:v>25.9</c:v>
                </c:pt>
                <c:pt idx="342">
                  <c:v>32</c:v>
                </c:pt>
                <c:pt idx="343">
                  <c:v>34.700000000000003</c:v>
                </c:pt>
                <c:pt idx="344">
                  <c:v>36.799999999999997</c:v>
                </c:pt>
                <c:pt idx="345">
                  <c:v>38.5</c:v>
                </c:pt>
                <c:pt idx="346">
                  <c:v>28.7</c:v>
                </c:pt>
                <c:pt idx="347">
                  <c:v>23.5</c:v>
                </c:pt>
                <c:pt idx="348">
                  <c:v>21.8</c:v>
                </c:pt>
                <c:pt idx="349">
                  <c:v>41</c:v>
                </c:pt>
                <c:pt idx="350">
                  <c:v>42.2</c:v>
                </c:pt>
                <c:pt idx="351">
                  <c:v>31.2</c:v>
                </c:pt>
                <c:pt idx="352">
                  <c:v>34.4</c:v>
                </c:pt>
                <c:pt idx="353">
                  <c:v>27.2</c:v>
                </c:pt>
                <c:pt idx="354">
                  <c:v>42.7</c:v>
                </c:pt>
                <c:pt idx="355">
                  <c:v>30.4</c:v>
                </c:pt>
                <c:pt idx="356">
                  <c:v>33.299999999999997</c:v>
                </c:pt>
                <c:pt idx="357">
                  <c:v>39.9</c:v>
                </c:pt>
                <c:pt idx="358">
                  <c:v>35.299999999999997</c:v>
                </c:pt>
                <c:pt idx="359">
                  <c:v>36.5</c:v>
                </c:pt>
                <c:pt idx="360">
                  <c:v>31.2</c:v>
                </c:pt>
                <c:pt idx="361">
                  <c:v>29.8</c:v>
                </c:pt>
                <c:pt idx="362">
                  <c:v>39.200000000000003</c:v>
                </c:pt>
                <c:pt idx="363">
                  <c:v>38.5</c:v>
                </c:pt>
                <c:pt idx="364">
                  <c:v>34.9</c:v>
                </c:pt>
                <c:pt idx="365">
                  <c:v>34</c:v>
                </c:pt>
                <c:pt idx="366">
                  <c:v>27.6</c:v>
                </c:pt>
                <c:pt idx="367">
                  <c:v>21</c:v>
                </c:pt>
                <c:pt idx="368">
                  <c:v>27.5</c:v>
                </c:pt>
                <c:pt idx="369">
                  <c:v>32.799999999999997</c:v>
                </c:pt>
                <c:pt idx="370">
                  <c:v>38.4</c:v>
                </c:pt>
                <c:pt idx="371">
                  <c:v>0</c:v>
                </c:pt>
                <c:pt idx="372">
                  <c:v>35.799999999999997</c:v>
                </c:pt>
                <c:pt idx="373">
                  <c:v>34.9</c:v>
                </c:pt>
                <c:pt idx="374">
                  <c:v>36.200000000000003</c:v>
                </c:pt>
                <c:pt idx="375">
                  <c:v>39.200000000000003</c:v>
                </c:pt>
                <c:pt idx="376">
                  <c:v>25.2</c:v>
                </c:pt>
                <c:pt idx="377">
                  <c:v>37.200000000000003</c:v>
                </c:pt>
                <c:pt idx="378">
                  <c:v>48.3</c:v>
                </c:pt>
                <c:pt idx="379">
                  <c:v>43.4</c:v>
                </c:pt>
                <c:pt idx="380">
                  <c:v>30.8</c:v>
                </c:pt>
                <c:pt idx="381">
                  <c:v>20</c:v>
                </c:pt>
                <c:pt idx="382">
                  <c:v>25.4</c:v>
                </c:pt>
                <c:pt idx="383">
                  <c:v>25.1</c:v>
                </c:pt>
                <c:pt idx="384">
                  <c:v>24.3</c:v>
                </c:pt>
                <c:pt idx="385">
                  <c:v>22.3</c:v>
                </c:pt>
                <c:pt idx="386">
                  <c:v>32.299999999999997</c:v>
                </c:pt>
                <c:pt idx="387">
                  <c:v>43.3</c:v>
                </c:pt>
                <c:pt idx="388">
                  <c:v>32</c:v>
                </c:pt>
                <c:pt idx="389">
                  <c:v>31.6</c:v>
                </c:pt>
                <c:pt idx="390">
                  <c:v>32</c:v>
                </c:pt>
                <c:pt idx="391">
                  <c:v>45.7</c:v>
                </c:pt>
                <c:pt idx="392">
                  <c:v>23.7</c:v>
                </c:pt>
                <c:pt idx="393">
                  <c:v>22.1</c:v>
                </c:pt>
                <c:pt idx="394">
                  <c:v>32.9</c:v>
                </c:pt>
                <c:pt idx="395">
                  <c:v>27.7</c:v>
                </c:pt>
                <c:pt idx="396">
                  <c:v>24.7</c:v>
                </c:pt>
                <c:pt idx="397">
                  <c:v>34.299999999999997</c:v>
                </c:pt>
                <c:pt idx="398">
                  <c:v>21.1</c:v>
                </c:pt>
                <c:pt idx="399">
                  <c:v>34.9</c:v>
                </c:pt>
                <c:pt idx="400">
                  <c:v>32</c:v>
                </c:pt>
                <c:pt idx="401">
                  <c:v>24.2</c:v>
                </c:pt>
                <c:pt idx="402">
                  <c:v>35</c:v>
                </c:pt>
                <c:pt idx="403">
                  <c:v>31.6</c:v>
                </c:pt>
                <c:pt idx="404">
                  <c:v>32.9</c:v>
                </c:pt>
                <c:pt idx="405">
                  <c:v>42.1</c:v>
                </c:pt>
                <c:pt idx="406">
                  <c:v>28.9</c:v>
                </c:pt>
                <c:pt idx="407">
                  <c:v>21.9</c:v>
                </c:pt>
                <c:pt idx="408">
                  <c:v>25.9</c:v>
                </c:pt>
                <c:pt idx="409">
                  <c:v>42.4</c:v>
                </c:pt>
                <c:pt idx="410">
                  <c:v>35.700000000000003</c:v>
                </c:pt>
                <c:pt idx="411">
                  <c:v>34.4</c:v>
                </c:pt>
                <c:pt idx="412">
                  <c:v>42.4</c:v>
                </c:pt>
                <c:pt idx="413">
                  <c:v>26.2</c:v>
                </c:pt>
                <c:pt idx="414">
                  <c:v>34.6</c:v>
                </c:pt>
                <c:pt idx="415">
                  <c:v>35.700000000000003</c:v>
                </c:pt>
                <c:pt idx="416">
                  <c:v>27.2</c:v>
                </c:pt>
                <c:pt idx="417">
                  <c:v>38.5</c:v>
                </c:pt>
                <c:pt idx="418">
                  <c:v>18.2</c:v>
                </c:pt>
                <c:pt idx="419">
                  <c:v>26.4</c:v>
                </c:pt>
                <c:pt idx="420">
                  <c:v>45.3</c:v>
                </c:pt>
                <c:pt idx="421">
                  <c:v>26</c:v>
                </c:pt>
                <c:pt idx="422">
                  <c:v>40.6</c:v>
                </c:pt>
                <c:pt idx="423">
                  <c:v>30.8</c:v>
                </c:pt>
                <c:pt idx="424">
                  <c:v>42.9</c:v>
                </c:pt>
                <c:pt idx="425">
                  <c:v>37</c:v>
                </c:pt>
                <c:pt idx="426">
                  <c:v>0</c:v>
                </c:pt>
                <c:pt idx="427">
                  <c:v>34.1</c:v>
                </c:pt>
                <c:pt idx="428">
                  <c:v>40.6</c:v>
                </c:pt>
                <c:pt idx="429">
                  <c:v>35</c:v>
                </c:pt>
                <c:pt idx="430">
                  <c:v>22.2</c:v>
                </c:pt>
                <c:pt idx="431">
                  <c:v>30.4</c:v>
                </c:pt>
                <c:pt idx="432">
                  <c:v>30</c:v>
                </c:pt>
                <c:pt idx="433">
                  <c:v>25.6</c:v>
                </c:pt>
                <c:pt idx="434">
                  <c:v>24.5</c:v>
                </c:pt>
                <c:pt idx="435">
                  <c:v>42.4</c:v>
                </c:pt>
                <c:pt idx="436">
                  <c:v>37.4</c:v>
                </c:pt>
                <c:pt idx="437">
                  <c:v>29.9</c:v>
                </c:pt>
                <c:pt idx="438">
                  <c:v>18.2</c:v>
                </c:pt>
                <c:pt idx="439">
                  <c:v>36.799999999999997</c:v>
                </c:pt>
                <c:pt idx="440">
                  <c:v>34.299999999999997</c:v>
                </c:pt>
                <c:pt idx="441">
                  <c:v>32.200000000000003</c:v>
                </c:pt>
                <c:pt idx="442">
                  <c:v>33.200000000000003</c:v>
                </c:pt>
                <c:pt idx="443">
                  <c:v>30.5</c:v>
                </c:pt>
                <c:pt idx="444">
                  <c:v>29.7</c:v>
                </c:pt>
                <c:pt idx="445">
                  <c:v>59.4</c:v>
                </c:pt>
                <c:pt idx="446">
                  <c:v>25.3</c:v>
                </c:pt>
                <c:pt idx="447">
                  <c:v>36.5</c:v>
                </c:pt>
                <c:pt idx="448">
                  <c:v>33.6</c:v>
                </c:pt>
                <c:pt idx="449">
                  <c:v>30.5</c:v>
                </c:pt>
                <c:pt idx="450">
                  <c:v>21.2</c:v>
                </c:pt>
                <c:pt idx="451">
                  <c:v>28.9</c:v>
                </c:pt>
                <c:pt idx="452">
                  <c:v>39.9</c:v>
                </c:pt>
                <c:pt idx="453">
                  <c:v>19.600000000000001</c:v>
                </c:pt>
                <c:pt idx="454">
                  <c:v>37.799999999999997</c:v>
                </c:pt>
                <c:pt idx="455">
                  <c:v>33.6</c:v>
                </c:pt>
                <c:pt idx="456">
                  <c:v>26.7</c:v>
                </c:pt>
                <c:pt idx="457">
                  <c:v>30.2</c:v>
                </c:pt>
                <c:pt idx="458">
                  <c:v>37.6</c:v>
                </c:pt>
                <c:pt idx="459">
                  <c:v>25.9</c:v>
                </c:pt>
                <c:pt idx="460">
                  <c:v>20.8</c:v>
                </c:pt>
                <c:pt idx="461">
                  <c:v>21.8</c:v>
                </c:pt>
                <c:pt idx="462">
                  <c:v>35.299999999999997</c:v>
                </c:pt>
                <c:pt idx="463">
                  <c:v>27.6</c:v>
                </c:pt>
                <c:pt idx="464">
                  <c:v>24</c:v>
                </c:pt>
                <c:pt idx="465">
                  <c:v>21.8</c:v>
                </c:pt>
                <c:pt idx="466">
                  <c:v>27.8</c:v>
                </c:pt>
                <c:pt idx="467">
                  <c:v>36.799999999999997</c:v>
                </c:pt>
                <c:pt idx="468">
                  <c:v>30</c:v>
                </c:pt>
                <c:pt idx="469">
                  <c:v>46.1</c:v>
                </c:pt>
                <c:pt idx="470">
                  <c:v>41.3</c:v>
                </c:pt>
                <c:pt idx="471">
                  <c:v>33.200000000000003</c:v>
                </c:pt>
                <c:pt idx="472">
                  <c:v>38.799999999999997</c:v>
                </c:pt>
                <c:pt idx="473">
                  <c:v>29.9</c:v>
                </c:pt>
                <c:pt idx="474">
                  <c:v>28.9</c:v>
                </c:pt>
                <c:pt idx="475">
                  <c:v>27.3</c:v>
                </c:pt>
                <c:pt idx="476">
                  <c:v>33.700000000000003</c:v>
                </c:pt>
                <c:pt idx="477">
                  <c:v>23.8</c:v>
                </c:pt>
                <c:pt idx="478">
                  <c:v>25.9</c:v>
                </c:pt>
                <c:pt idx="479">
                  <c:v>28</c:v>
                </c:pt>
                <c:pt idx="480">
                  <c:v>35.5</c:v>
                </c:pt>
                <c:pt idx="481">
                  <c:v>35.200000000000003</c:v>
                </c:pt>
                <c:pt idx="482">
                  <c:v>27.8</c:v>
                </c:pt>
                <c:pt idx="483">
                  <c:v>38.200000000000003</c:v>
                </c:pt>
                <c:pt idx="484">
                  <c:v>44.2</c:v>
                </c:pt>
                <c:pt idx="485">
                  <c:v>42.3</c:v>
                </c:pt>
                <c:pt idx="486">
                  <c:v>40.700000000000003</c:v>
                </c:pt>
                <c:pt idx="487">
                  <c:v>46.5</c:v>
                </c:pt>
                <c:pt idx="488">
                  <c:v>25.6</c:v>
                </c:pt>
                <c:pt idx="489">
                  <c:v>26.1</c:v>
                </c:pt>
                <c:pt idx="490">
                  <c:v>36.799999999999997</c:v>
                </c:pt>
                <c:pt idx="491">
                  <c:v>33.5</c:v>
                </c:pt>
                <c:pt idx="492">
                  <c:v>32.799999999999997</c:v>
                </c:pt>
                <c:pt idx="493">
                  <c:v>28.9</c:v>
                </c:pt>
                <c:pt idx="494">
                  <c:v>0</c:v>
                </c:pt>
                <c:pt idx="495">
                  <c:v>26.6</c:v>
                </c:pt>
                <c:pt idx="496">
                  <c:v>26</c:v>
                </c:pt>
                <c:pt idx="497">
                  <c:v>30.1</c:v>
                </c:pt>
                <c:pt idx="498">
                  <c:v>25.1</c:v>
                </c:pt>
                <c:pt idx="499">
                  <c:v>29.3</c:v>
                </c:pt>
                <c:pt idx="500">
                  <c:v>25.2</c:v>
                </c:pt>
                <c:pt idx="501">
                  <c:v>37.200000000000003</c:v>
                </c:pt>
                <c:pt idx="502">
                  <c:v>39</c:v>
                </c:pt>
                <c:pt idx="503">
                  <c:v>33.299999999999997</c:v>
                </c:pt>
                <c:pt idx="504">
                  <c:v>37.299999999999997</c:v>
                </c:pt>
                <c:pt idx="505">
                  <c:v>33.299999999999997</c:v>
                </c:pt>
                <c:pt idx="506">
                  <c:v>36.5</c:v>
                </c:pt>
                <c:pt idx="507">
                  <c:v>28.6</c:v>
                </c:pt>
                <c:pt idx="508">
                  <c:v>30.4</c:v>
                </c:pt>
                <c:pt idx="509">
                  <c:v>25</c:v>
                </c:pt>
                <c:pt idx="510">
                  <c:v>29.7</c:v>
                </c:pt>
                <c:pt idx="511">
                  <c:v>22.1</c:v>
                </c:pt>
                <c:pt idx="512">
                  <c:v>24.2</c:v>
                </c:pt>
                <c:pt idx="513">
                  <c:v>27.3</c:v>
                </c:pt>
                <c:pt idx="514">
                  <c:v>25.6</c:v>
                </c:pt>
                <c:pt idx="515">
                  <c:v>31.6</c:v>
                </c:pt>
                <c:pt idx="516">
                  <c:v>30.3</c:v>
                </c:pt>
                <c:pt idx="517">
                  <c:v>37.6</c:v>
                </c:pt>
                <c:pt idx="518">
                  <c:v>32.799999999999997</c:v>
                </c:pt>
                <c:pt idx="519">
                  <c:v>19.600000000000001</c:v>
                </c:pt>
                <c:pt idx="520">
                  <c:v>25</c:v>
                </c:pt>
                <c:pt idx="521">
                  <c:v>33.200000000000003</c:v>
                </c:pt>
                <c:pt idx="522">
                  <c:v>0</c:v>
                </c:pt>
                <c:pt idx="523">
                  <c:v>34.200000000000003</c:v>
                </c:pt>
                <c:pt idx="524">
                  <c:v>31.6</c:v>
                </c:pt>
                <c:pt idx="525">
                  <c:v>21.8</c:v>
                </c:pt>
                <c:pt idx="526">
                  <c:v>18.2</c:v>
                </c:pt>
                <c:pt idx="527">
                  <c:v>26.3</c:v>
                </c:pt>
                <c:pt idx="528">
                  <c:v>30.8</c:v>
                </c:pt>
                <c:pt idx="529">
                  <c:v>24.6</c:v>
                </c:pt>
                <c:pt idx="530">
                  <c:v>29.8</c:v>
                </c:pt>
                <c:pt idx="531">
                  <c:v>45.3</c:v>
                </c:pt>
                <c:pt idx="532">
                  <c:v>41.3</c:v>
                </c:pt>
                <c:pt idx="533">
                  <c:v>29.8</c:v>
                </c:pt>
                <c:pt idx="534">
                  <c:v>33.299999999999997</c:v>
                </c:pt>
                <c:pt idx="535">
                  <c:v>32.9</c:v>
                </c:pt>
                <c:pt idx="536">
                  <c:v>29.6</c:v>
                </c:pt>
                <c:pt idx="537">
                  <c:v>21.7</c:v>
                </c:pt>
                <c:pt idx="538">
                  <c:v>36.299999999999997</c:v>
                </c:pt>
                <c:pt idx="539">
                  <c:v>36.4</c:v>
                </c:pt>
                <c:pt idx="540">
                  <c:v>39.4</c:v>
                </c:pt>
                <c:pt idx="541">
                  <c:v>32.4</c:v>
                </c:pt>
                <c:pt idx="542">
                  <c:v>34.9</c:v>
                </c:pt>
                <c:pt idx="543">
                  <c:v>39.5</c:v>
                </c:pt>
                <c:pt idx="544">
                  <c:v>32</c:v>
                </c:pt>
                <c:pt idx="545">
                  <c:v>34.5</c:v>
                </c:pt>
                <c:pt idx="546">
                  <c:v>43.6</c:v>
                </c:pt>
                <c:pt idx="547">
                  <c:v>33.1</c:v>
                </c:pt>
                <c:pt idx="548">
                  <c:v>32.799999999999997</c:v>
                </c:pt>
                <c:pt idx="549">
                  <c:v>28.5</c:v>
                </c:pt>
                <c:pt idx="550">
                  <c:v>27.4</c:v>
                </c:pt>
                <c:pt idx="551">
                  <c:v>31.9</c:v>
                </c:pt>
                <c:pt idx="552">
                  <c:v>27.8</c:v>
                </c:pt>
                <c:pt idx="553">
                  <c:v>29.9</c:v>
                </c:pt>
                <c:pt idx="554">
                  <c:v>36.9</c:v>
                </c:pt>
                <c:pt idx="555">
                  <c:v>25.5</c:v>
                </c:pt>
                <c:pt idx="556">
                  <c:v>38.1</c:v>
                </c:pt>
                <c:pt idx="557">
                  <c:v>27.8</c:v>
                </c:pt>
                <c:pt idx="558">
                  <c:v>46.2</c:v>
                </c:pt>
                <c:pt idx="559">
                  <c:v>30.1</c:v>
                </c:pt>
                <c:pt idx="560">
                  <c:v>33.799999999999997</c:v>
                </c:pt>
                <c:pt idx="561">
                  <c:v>41.3</c:v>
                </c:pt>
                <c:pt idx="562">
                  <c:v>37.6</c:v>
                </c:pt>
                <c:pt idx="563">
                  <c:v>26.9</c:v>
                </c:pt>
                <c:pt idx="564">
                  <c:v>32.4</c:v>
                </c:pt>
                <c:pt idx="565">
                  <c:v>26.1</c:v>
                </c:pt>
                <c:pt idx="566">
                  <c:v>38.6</c:v>
                </c:pt>
                <c:pt idx="567">
                  <c:v>32</c:v>
                </c:pt>
                <c:pt idx="568">
                  <c:v>31.3</c:v>
                </c:pt>
                <c:pt idx="569">
                  <c:v>34.299999999999997</c:v>
                </c:pt>
                <c:pt idx="570">
                  <c:v>32.5</c:v>
                </c:pt>
                <c:pt idx="571">
                  <c:v>22.6</c:v>
                </c:pt>
                <c:pt idx="572">
                  <c:v>29.5</c:v>
                </c:pt>
                <c:pt idx="573">
                  <c:v>34.700000000000003</c:v>
                </c:pt>
                <c:pt idx="574">
                  <c:v>30.1</c:v>
                </c:pt>
                <c:pt idx="575">
                  <c:v>35.5</c:v>
                </c:pt>
                <c:pt idx="576">
                  <c:v>24</c:v>
                </c:pt>
                <c:pt idx="577">
                  <c:v>42.9</c:v>
                </c:pt>
                <c:pt idx="578">
                  <c:v>27</c:v>
                </c:pt>
                <c:pt idx="579">
                  <c:v>34.700000000000003</c:v>
                </c:pt>
                <c:pt idx="580">
                  <c:v>42.1</c:v>
                </c:pt>
                <c:pt idx="581">
                  <c:v>25</c:v>
                </c:pt>
                <c:pt idx="582">
                  <c:v>26.5</c:v>
                </c:pt>
                <c:pt idx="583">
                  <c:v>38.700000000000003</c:v>
                </c:pt>
                <c:pt idx="584">
                  <c:v>28.7</c:v>
                </c:pt>
                <c:pt idx="585">
                  <c:v>22.5</c:v>
                </c:pt>
                <c:pt idx="586">
                  <c:v>34.9</c:v>
                </c:pt>
                <c:pt idx="587">
                  <c:v>24.3</c:v>
                </c:pt>
                <c:pt idx="588">
                  <c:v>33.299999999999997</c:v>
                </c:pt>
                <c:pt idx="589">
                  <c:v>21.1</c:v>
                </c:pt>
                <c:pt idx="590">
                  <c:v>46.8</c:v>
                </c:pt>
                <c:pt idx="591">
                  <c:v>39.4</c:v>
                </c:pt>
                <c:pt idx="592">
                  <c:v>34.4</c:v>
                </c:pt>
                <c:pt idx="593">
                  <c:v>28.5</c:v>
                </c:pt>
                <c:pt idx="594">
                  <c:v>33.6</c:v>
                </c:pt>
                <c:pt idx="595">
                  <c:v>32</c:v>
                </c:pt>
                <c:pt idx="596">
                  <c:v>45.3</c:v>
                </c:pt>
                <c:pt idx="597">
                  <c:v>27.8</c:v>
                </c:pt>
                <c:pt idx="598">
                  <c:v>36.799999999999997</c:v>
                </c:pt>
                <c:pt idx="599">
                  <c:v>23.1</c:v>
                </c:pt>
                <c:pt idx="600">
                  <c:v>27.1</c:v>
                </c:pt>
                <c:pt idx="601">
                  <c:v>23.7</c:v>
                </c:pt>
                <c:pt idx="602">
                  <c:v>27.8</c:v>
                </c:pt>
                <c:pt idx="603">
                  <c:v>35.200000000000003</c:v>
                </c:pt>
                <c:pt idx="604">
                  <c:v>28.4</c:v>
                </c:pt>
                <c:pt idx="605">
                  <c:v>35.799999999999997</c:v>
                </c:pt>
                <c:pt idx="606">
                  <c:v>40</c:v>
                </c:pt>
                <c:pt idx="607">
                  <c:v>19.5</c:v>
                </c:pt>
                <c:pt idx="608">
                  <c:v>41.5</c:v>
                </c:pt>
                <c:pt idx="609">
                  <c:v>24</c:v>
                </c:pt>
                <c:pt idx="610">
                  <c:v>30.9</c:v>
                </c:pt>
                <c:pt idx="611">
                  <c:v>32.9</c:v>
                </c:pt>
                <c:pt idx="612">
                  <c:v>38.200000000000003</c:v>
                </c:pt>
                <c:pt idx="613">
                  <c:v>32.5</c:v>
                </c:pt>
                <c:pt idx="614">
                  <c:v>36.1</c:v>
                </c:pt>
                <c:pt idx="615">
                  <c:v>25.8</c:v>
                </c:pt>
                <c:pt idx="616">
                  <c:v>28.7</c:v>
                </c:pt>
                <c:pt idx="617">
                  <c:v>20.100000000000001</c:v>
                </c:pt>
                <c:pt idx="618">
                  <c:v>28.2</c:v>
                </c:pt>
                <c:pt idx="619">
                  <c:v>32.4</c:v>
                </c:pt>
                <c:pt idx="620">
                  <c:v>38.4</c:v>
                </c:pt>
                <c:pt idx="621">
                  <c:v>24.2</c:v>
                </c:pt>
                <c:pt idx="622">
                  <c:v>40.799999999999997</c:v>
                </c:pt>
                <c:pt idx="623">
                  <c:v>43.5</c:v>
                </c:pt>
                <c:pt idx="624">
                  <c:v>30.8</c:v>
                </c:pt>
                <c:pt idx="625">
                  <c:v>37.700000000000003</c:v>
                </c:pt>
                <c:pt idx="626">
                  <c:v>24.7</c:v>
                </c:pt>
                <c:pt idx="627">
                  <c:v>32.4</c:v>
                </c:pt>
                <c:pt idx="628">
                  <c:v>34.6</c:v>
                </c:pt>
                <c:pt idx="629">
                  <c:v>24.7</c:v>
                </c:pt>
                <c:pt idx="630">
                  <c:v>27.4</c:v>
                </c:pt>
                <c:pt idx="631">
                  <c:v>34.5</c:v>
                </c:pt>
                <c:pt idx="632">
                  <c:v>26.2</c:v>
                </c:pt>
                <c:pt idx="633">
                  <c:v>27.5</c:v>
                </c:pt>
                <c:pt idx="634">
                  <c:v>25.9</c:v>
                </c:pt>
                <c:pt idx="635">
                  <c:v>31.2</c:v>
                </c:pt>
                <c:pt idx="636">
                  <c:v>28.8</c:v>
                </c:pt>
                <c:pt idx="637">
                  <c:v>31.6</c:v>
                </c:pt>
                <c:pt idx="638">
                  <c:v>40.9</c:v>
                </c:pt>
                <c:pt idx="639">
                  <c:v>19.5</c:v>
                </c:pt>
                <c:pt idx="640">
                  <c:v>29.3</c:v>
                </c:pt>
                <c:pt idx="641">
                  <c:v>34.299999999999997</c:v>
                </c:pt>
                <c:pt idx="642">
                  <c:v>29.5</c:v>
                </c:pt>
                <c:pt idx="643">
                  <c:v>28</c:v>
                </c:pt>
                <c:pt idx="644">
                  <c:v>27.6</c:v>
                </c:pt>
                <c:pt idx="645">
                  <c:v>39.4</c:v>
                </c:pt>
                <c:pt idx="646">
                  <c:v>23.4</c:v>
                </c:pt>
                <c:pt idx="647">
                  <c:v>37.799999999999997</c:v>
                </c:pt>
                <c:pt idx="648">
                  <c:v>28.3</c:v>
                </c:pt>
                <c:pt idx="649">
                  <c:v>26.4</c:v>
                </c:pt>
                <c:pt idx="650">
                  <c:v>25.2</c:v>
                </c:pt>
                <c:pt idx="651">
                  <c:v>33.799999999999997</c:v>
                </c:pt>
                <c:pt idx="652">
                  <c:v>34.1</c:v>
                </c:pt>
                <c:pt idx="653">
                  <c:v>26.8</c:v>
                </c:pt>
                <c:pt idx="654">
                  <c:v>34.200000000000003</c:v>
                </c:pt>
                <c:pt idx="655">
                  <c:v>38.700000000000003</c:v>
                </c:pt>
                <c:pt idx="656">
                  <c:v>21.8</c:v>
                </c:pt>
                <c:pt idx="657">
                  <c:v>38.9</c:v>
                </c:pt>
                <c:pt idx="658">
                  <c:v>39</c:v>
                </c:pt>
                <c:pt idx="659">
                  <c:v>34.200000000000003</c:v>
                </c:pt>
                <c:pt idx="660">
                  <c:v>27.7</c:v>
                </c:pt>
                <c:pt idx="661">
                  <c:v>42.9</c:v>
                </c:pt>
                <c:pt idx="662">
                  <c:v>37.6</c:v>
                </c:pt>
                <c:pt idx="663">
                  <c:v>37.9</c:v>
                </c:pt>
                <c:pt idx="664">
                  <c:v>33.700000000000003</c:v>
                </c:pt>
                <c:pt idx="665">
                  <c:v>34.799999999999997</c:v>
                </c:pt>
                <c:pt idx="666">
                  <c:v>32.5</c:v>
                </c:pt>
                <c:pt idx="667">
                  <c:v>27.5</c:v>
                </c:pt>
                <c:pt idx="668">
                  <c:v>34</c:v>
                </c:pt>
                <c:pt idx="669">
                  <c:v>30.9</c:v>
                </c:pt>
                <c:pt idx="670">
                  <c:v>33.6</c:v>
                </c:pt>
                <c:pt idx="671">
                  <c:v>25.4</c:v>
                </c:pt>
                <c:pt idx="672">
                  <c:v>35.5</c:v>
                </c:pt>
                <c:pt idx="673">
                  <c:v>57.3</c:v>
                </c:pt>
                <c:pt idx="674">
                  <c:v>35.6</c:v>
                </c:pt>
                <c:pt idx="675">
                  <c:v>30.9</c:v>
                </c:pt>
                <c:pt idx="676">
                  <c:v>24.8</c:v>
                </c:pt>
                <c:pt idx="677">
                  <c:v>35.299999999999997</c:v>
                </c:pt>
                <c:pt idx="678">
                  <c:v>36</c:v>
                </c:pt>
                <c:pt idx="679">
                  <c:v>24.2</c:v>
                </c:pt>
                <c:pt idx="680">
                  <c:v>24.2</c:v>
                </c:pt>
                <c:pt idx="681">
                  <c:v>49.6</c:v>
                </c:pt>
                <c:pt idx="682">
                  <c:v>44.6</c:v>
                </c:pt>
                <c:pt idx="683">
                  <c:v>32.299999999999997</c:v>
                </c:pt>
                <c:pt idx="684">
                  <c:v>0</c:v>
                </c:pt>
                <c:pt idx="685">
                  <c:v>33.200000000000003</c:v>
                </c:pt>
                <c:pt idx="686">
                  <c:v>23.1</c:v>
                </c:pt>
                <c:pt idx="687">
                  <c:v>28.3</c:v>
                </c:pt>
                <c:pt idx="688">
                  <c:v>24.1</c:v>
                </c:pt>
                <c:pt idx="689">
                  <c:v>46.1</c:v>
                </c:pt>
                <c:pt idx="690">
                  <c:v>24.6</c:v>
                </c:pt>
                <c:pt idx="691">
                  <c:v>42.3</c:v>
                </c:pt>
                <c:pt idx="692">
                  <c:v>39.1</c:v>
                </c:pt>
                <c:pt idx="693">
                  <c:v>38.5</c:v>
                </c:pt>
                <c:pt idx="694">
                  <c:v>23.5</c:v>
                </c:pt>
                <c:pt idx="695">
                  <c:v>30.4</c:v>
                </c:pt>
                <c:pt idx="696">
                  <c:v>29.9</c:v>
                </c:pt>
                <c:pt idx="697">
                  <c:v>25</c:v>
                </c:pt>
                <c:pt idx="698">
                  <c:v>34.5</c:v>
                </c:pt>
                <c:pt idx="699">
                  <c:v>44.5</c:v>
                </c:pt>
                <c:pt idx="700">
                  <c:v>35.9</c:v>
                </c:pt>
                <c:pt idx="701">
                  <c:v>27.6</c:v>
                </c:pt>
                <c:pt idx="702">
                  <c:v>35</c:v>
                </c:pt>
                <c:pt idx="703">
                  <c:v>38.5</c:v>
                </c:pt>
                <c:pt idx="704">
                  <c:v>28.4</c:v>
                </c:pt>
                <c:pt idx="705">
                  <c:v>39.799999999999997</c:v>
                </c:pt>
                <c:pt idx="706">
                  <c:v>0</c:v>
                </c:pt>
                <c:pt idx="707">
                  <c:v>34.4</c:v>
                </c:pt>
                <c:pt idx="708">
                  <c:v>32.799999999999997</c:v>
                </c:pt>
                <c:pt idx="709">
                  <c:v>38</c:v>
                </c:pt>
                <c:pt idx="710">
                  <c:v>31.2</c:v>
                </c:pt>
                <c:pt idx="711">
                  <c:v>29.6</c:v>
                </c:pt>
                <c:pt idx="712">
                  <c:v>41.2</c:v>
                </c:pt>
                <c:pt idx="713">
                  <c:v>26.4</c:v>
                </c:pt>
                <c:pt idx="714">
                  <c:v>29.5</c:v>
                </c:pt>
                <c:pt idx="715">
                  <c:v>33.9</c:v>
                </c:pt>
                <c:pt idx="716">
                  <c:v>33.799999999999997</c:v>
                </c:pt>
                <c:pt idx="717">
                  <c:v>23.1</c:v>
                </c:pt>
                <c:pt idx="718">
                  <c:v>35.5</c:v>
                </c:pt>
                <c:pt idx="719">
                  <c:v>35.6</c:v>
                </c:pt>
                <c:pt idx="720">
                  <c:v>29.3</c:v>
                </c:pt>
                <c:pt idx="721">
                  <c:v>38.1</c:v>
                </c:pt>
                <c:pt idx="722">
                  <c:v>29.3</c:v>
                </c:pt>
                <c:pt idx="723">
                  <c:v>39.1</c:v>
                </c:pt>
                <c:pt idx="724">
                  <c:v>32.799999999999997</c:v>
                </c:pt>
                <c:pt idx="725">
                  <c:v>39.4</c:v>
                </c:pt>
                <c:pt idx="726">
                  <c:v>36.1</c:v>
                </c:pt>
                <c:pt idx="727">
                  <c:v>32.4</c:v>
                </c:pt>
                <c:pt idx="728">
                  <c:v>22.9</c:v>
                </c:pt>
                <c:pt idx="729">
                  <c:v>30.1</c:v>
                </c:pt>
                <c:pt idx="730">
                  <c:v>28.4</c:v>
                </c:pt>
                <c:pt idx="731">
                  <c:v>28.4</c:v>
                </c:pt>
                <c:pt idx="732">
                  <c:v>44.5</c:v>
                </c:pt>
                <c:pt idx="733">
                  <c:v>29</c:v>
                </c:pt>
                <c:pt idx="734">
                  <c:v>23.3</c:v>
                </c:pt>
                <c:pt idx="735">
                  <c:v>35.4</c:v>
                </c:pt>
                <c:pt idx="736">
                  <c:v>27.4</c:v>
                </c:pt>
                <c:pt idx="737">
                  <c:v>32</c:v>
                </c:pt>
                <c:pt idx="738">
                  <c:v>36.6</c:v>
                </c:pt>
                <c:pt idx="739">
                  <c:v>39.5</c:v>
                </c:pt>
                <c:pt idx="740">
                  <c:v>42.3</c:v>
                </c:pt>
                <c:pt idx="741">
                  <c:v>30.8</c:v>
                </c:pt>
                <c:pt idx="742">
                  <c:v>28.5</c:v>
                </c:pt>
                <c:pt idx="743">
                  <c:v>32.700000000000003</c:v>
                </c:pt>
                <c:pt idx="744">
                  <c:v>40.6</c:v>
                </c:pt>
                <c:pt idx="745">
                  <c:v>30</c:v>
                </c:pt>
                <c:pt idx="746">
                  <c:v>49.3</c:v>
                </c:pt>
                <c:pt idx="747">
                  <c:v>46.3</c:v>
                </c:pt>
                <c:pt idx="748">
                  <c:v>36.4</c:v>
                </c:pt>
                <c:pt idx="749">
                  <c:v>24.3</c:v>
                </c:pt>
                <c:pt idx="750">
                  <c:v>31.2</c:v>
                </c:pt>
                <c:pt idx="751">
                  <c:v>39</c:v>
                </c:pt>
                <c:pt idx="752">
                  <c:v>26</c:v>
                </c:pt>
                <c:pt idx="753">
                  <c:v>43.3</c:v>
                </c:pt>
                <c:pt idx="754">
                  <c:v>32.4</c:v>
                </c:pt>
                <c:pt idx="755">
                  <c:v>36.5</c:v>
                </c:pt>
                <c:pt idx="756">
                  <c:v>32</c:v>
                </c:pt>
                <c:pt idx="757">
                  <c:v>36.299999999999997</c:v>
                </c:pt>
                <c:pt idx="758">
                  <c:v>37.5</c:v>
                </c:pt>
                <c:pt idx="759">
                  <c:v>35.5</c:v>
                </c:pt>
                <c:pt idx="760">
                  <c:v>28.4</c:v>
                </c:pt>
                <c:pt idx="761">
                  <c:v>44</c:v>
                </c:pt>
                <c:pt idx="762">
                  <c:v>22.5</c:v>
                </c:pt>
                <c:pt idx="763">
                  <c:v>32.9</c:v>
                </c:pt>
                <c:pt idx="764">
                  <c:v>36.799999999999997</c:v>
                </c:pt>
                <c:pt idx="765">
                  <c:v>26.2</c:v>
                </c:pt>
                <c:pt idx="766">
                  <c:v>30.1</c:v>
                </c:pt>
                <c:pt idx="767">
                  <c:v>30.4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F4-463E-85D5-E21E9F3C1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299120"/>
        <c:axId val="1230297200"/>
      </c:scatterChart>
      <c:valAx>
        <c:axId val="123029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97200"/>
        <c:crosses val="autoZero"/>
        <c:crossBetween val="midCat"/>
      </c:valAx>
      <c:valAx>
        <c:axId val="123029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9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Glucose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1-D9B0-4721-B344-6203A3FB4D5E}" formatIdx="1">
          <cx:tx>
            <cx:txData>
              <cx:f/>
              <cx:v>Glucose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clusteredColumn" uniqueId="{DB47DEFA-C5FE-47A6-AA47-F51B2EF3E787}">
          <cx:tx>
            <cx:txData>
              <cx:f/>
              <cx:v>BloodPressure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SkinThickness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1-8945-4240-92A6-FD10973EEFD0}">
          <cx:tx>
            <cx:txData>
              <cx:f/>
              <cx:v>SkinThickness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Insulin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75F69DCC-EE30-46F4-BF29-E50636206C23}">
          <cx:tx>
            <cx:txData>
              <cx:f/>
              <cx:v>Insulin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BMI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FE5BB191-41F0-4FA5-A259-7E906EB66942}">
          <cx:tx>
            <cx:txData>
              <cx:f/>
              <cx:v>BMI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DiabetesPedigreeFunction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A36A6124-A36A-4D43-B342-FAA7533877EB}">
          <cx:tx>
            <cx:txData>
              <cx:f/>
              <cx:v>DiabetesPedigreeFunction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Age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8017FC9B-8A98-42BE-819F-E297A31349A3}">
          <cx:tx>
            <cx:txData>
              <cx:f/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4.xml"/><Relationship Id="rId3" Type="http://schemas.openxmlformats.org/officeDocument/2006/relationships/chart" Target="../charts/chart3.xml"/><Relationship Id="rId7" Type="http://schemas.microsoft.com/office/2014/relationships/chartEx" Target="../charts/chartEx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11" Type="http://schemas.microsoft.com/office/2014/relationships/chartEx" Target="../charts/chartEx7.xml"/><Relationship Id="rId5" Type="http://schemas.microsoft.com/office/2014/relationships/chartEx" Target="../charts/chartEx1.xml"/><Relationship Id="rId10" Type="http://schemas.microsoft.com/office/2014/relationships/chartEx" Target="../charts/chartEx6.xml"/><Relationship Id="rId4" Type="http://schemas.openxmlformats.org/officeDocument/2006/relationships/chart" Target="../charts/chart4.xml"/><Relationship Id="rId9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274320</xdr:colOff>
      <xdr:row>5</xdr:row>
      <xdr:rowOff>125730</xdr:rowOff>
    </xdr:from>
    <xdr:to>
      <xdr:col>8</xdr:col>
      <xdr:colOff>579120</xdr:colOff>
      <xdr:row>20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897D6D-6B6C-0DEB-BFBE-F7A85AB35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381000</xdr:colOff>
      <xdr:row>22</xdr:row>
      <xdr:rowOff>95250</xdr:rowOff>
    </xdr:from>
    <xdr:to>
      <xdr:col>9</xdr:col>
      <xdr:colOff>76200</xdr:colOff>
      <xdr:row>37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24394E-5544-3F19-6739-DBDC5CCAB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251460</xdr:colOff>
      <xdr:row>39</xdr:row>
      <xdr:rowOff>110490</xdr:rowOff>
    </xdr:from>
    <xdr:to>
      <xdr:col>8</xdr:col>
      <xdr:colOff>556260</xdr:colOff>
      <xdr:row>54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FCB2F2-F9A1-A54A-8E7F-F5182EE72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137160</xdr:colOff>
      <xdr:row>56</xdr:row>
      <xdr:rowOff>133350</xdr:rowOff>
    </xdr:from>
    <xdr:to>
      <xdr:col>8</xdr:col>
      <xdr:colOff>441960</xdr:colOff>
      <xdr:row>71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E89258-A89B-0F79-D14B-A59846B5E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91440</xdr:colOff>
      <xdr:row>4</xdr:row>
      <xdr:rowOff>179070</xdr:rowOff>
    </xdr:from>
    <xdr:to>
      <xdr:col>18</xdr:col>
      <xdr:colOff>396240</xdr:colOff>
      <xdr:row>19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ADE439F-6025-15AF-FDD9-82C270341B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97040" y="9105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91440</xdr:colOff>
      <xdr:row>23</xdr:row>
      <xdr:rowOff>110490</xdr:rowOff>
    </xdr:from>
    <xdr:to>
      <xdr:col>18</xdr:col>
      <xdr:colOff>396240</xdr:colOff>
      <xdr:row>38</xdr:row>
      <xdr:rowOff>110490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6D2E067-BD1D-66A6-546C-9B735034D4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97040" y="43167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190500</xdr:colOff>
      <xdr:row>42</xdr:row>
      <xdr:rowOff>64770</xdr:rowOff>
    </xdr:from>
    <xdr:to>
      <xdr:col>18</xdr:col>
      <xdr:colOff>495300</xdr:colOff>
      <xdr:row>57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6C7775D-EA8B-1473-28D3-B344981A0E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96100" y="77457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304800</xdr:colOff>
      <xdr:row>58</xdr:row>
      <xdr:rowOff>148590</xdr:rowOff>
    </xdr:from>
    <xdr:to>
      <xdr:col>19</xdr:col>
      <xdr:colOff>0</xdr:colOff>
      <xdr:row>73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AF361D1E-6972-A9F0-4AC2-EA2906A49D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0400" y="107556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281940</xdr:colOff>
      <xdr:row>76</xdr:row>
      <xdr:rowOff>64770</xdr:rowOff>
    </xdr:from>
    <xdr:to>
      <xdr:col>18</xdr:col>
      <xdr:colOff>586740</xdr:colOff>
      <xdr:row>91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9B39A0FB-18B2-8C2E-A207-C3FD181DCF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87540" y="13963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304800</xdr:colOff>
      <xdr:row>93</xdr:row>
      <xdr:rowOff>125730</xdr:rowOff>
    </xdr:from>
    <xdr:to>
      <xdr:col>19</xdr:col>
      <xdr:colOff>0</xdr:colOff>
      <xdr:row>108</xdr:row>
      <xdr:rowOff>125730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A6F0E76A-44F3-6FDE-588C-7DAD98B819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0400" y="171335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472440</xdr:colOff>
      <xdr:row>111</xdr:row>
      <xdr:rowOff>19050</xdr:rowOff>
    </xdr:from>
    <xdr:to>
      <xdr:col>17</xdr:col>
      <xdr:colOff>167640</xdr:colOff>
      <xdr:row>126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E84BF0BD-FD3D-D5A9-50E7-06F52327F8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8840" y="203187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36.93407314815" createdVersion="8" refreshedVersion="8" minRefreshableVersion="3" recordCount="768" xr:uid="{B246D1E4-6EE7-471F-86BA-48F7209F489F}">
  <cacheSource type="worksheet">
    <worksheetSource ref="A1:I769" sheet="pima"/>
  </cacheSource>
  <cacheFields count="9">
    <cacheField name="Pregnancies" numFmtId="0">
      <sharedItems containsSemiMixedTypes="0" containsString="0" containsNumber="1" containsInteger="1" minValue="0" maxValue="17"/>
    </cacheField>
    <cacheField name="Glucose" numFmtId="0">
      <sharedItems containsSemiMixedTypes="0" containsString="0" containsNumber="1" containsInteger="1" minValue="0" maxValue="199"/>
    </cacheField>
    <cacheField name="BloodPressure" numFmtId="0">
      <sharedItems containsSemiMixedTypes="0" containsString="0" containsNumber="1" containsInteger="1" minValue="0" maxValue="122"/>
    </cacheField>
    <cacheField name="SkinThickness" numFmtId="0">
      <sharedItems containsSemiMixedTypes="0" containsString="0" containsNumber="1" containsInteger="1" minValue="0" maxValue="99"/>
    </cacheField>
    <cacheField name="Insulin" numFmtId="0">
      <sharedItems containsSemiMixedTypes="0" containsString="0" containsNumber="1" containsInteger="1" minValue="0" maxValue="846"/>
    </cacheField>
    <cacheField name="BMI" numFmtId="0">
      <sharedItems containsSemiMixedTypes="0" containsString="0" containsNumber="1" minValue="0" maxValue="67.099999999999994"/>
    </cacheField>
    <cacheField name="DiabetesPedigreeFunction" numFmtId="0">
      <sharedItems containsSemiMixedTypes="0" containsString="0" containsNumber="1" minValue="7.8E-2" maxValue="2.42"/>
    </cacheField>
    <cacheField name="Age" numFmtId="0">
      <sharedItems containsSemiMixedTypes="0" containsString="0" containsNumber="1" containsInteger="1" minValue="21" maxValue="81"/>
    </cacheField>
    <cacheField name="Outcome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8">
  <r>
    <n v="6"/>
    <n v="148"/>
    <n v="72"/>
    <n v="35"/>
    <n v="0"/>
    <n v="33.6"/>
    <n v="0.627"/>
    <n v="50"/>
    <x v="0"/>
  </r>
  <r>
    <n v="1"/>
    <n v="85"/>
    <n v="66"/>
    <n v="29"/>
    <n v="0"/>
    <n v="26.6"/>
    <n v="0.35099999999999998"/>
    <n v="31"/>
    <x v="1"/>
  </r>
  <r>
    <n v="8"/>
    <n v="183"/>
    <n v="64"/>
    <n v="0"/>
    <n v="0"/>
    <n v="23.3"/>
    <n v="0.67200000000000004"/>
    <n v="32"/>
    <x v="0"/>
  </r>
  <r>
    <n v="1"/>
    <n v="89"/>
    <n v="66"/>
    <n v="23"/>
    <n v="94"/>
    <n v="28.1"/>
    <n v="0.16700000000000001"/>
    <n v="21"/>
    <x v="1"/>
  </r>
  <r>
    <n v="0"/>
    <n v="137"/>
    <n v="40"/>
    <n v="35"/>
    <n v="168"/>
    <n v="43.1"/>
    <n v="2.2879999999999998"/>
    <n v="33"/>
    <x v="0"/>
  </r>
  <r>
    <n v="5"/>
    <n v="116"/>
    <n v="74"/>
    <n v="0"/>
    <n v="0"/>
    <n v="25.6"/>
    <n v="0.20100000000000001"/>
    <n v="30"/>
    <x v="1"/>
  </r>
  <r>
    <n v="3"/>
    <n v="78"/>
    <n v="50"/>
    <n v="32"/>
    <n v="88"/>
    <n v="31"/>
    <n v="0.248"/>
    <n v="26"/>
    <x v="0"/>
  </r>
  <r>
    <n v="10"/>
    <n v="115"/>
    <n v="0"/>
    <n v="0"/>
    <n v="0"/>
    <n v="35.299999999999997"/>
    <n v="0.13400000000000001"/>
    <n v="29"/>
    <x v="1"/>
  </r>
  <r>
    <n v="2"/>
    <n v="197"/>
    <n v="70"/>
    <n v="45"/>
    <n v="543"/>
    <n v="30.5"/>
    <n v="0.158"/>
    <n v="53"/>
    <x v="0"/>
  </r>
  <r>
    <n v="8"/>
    <n v="125"/>
    <n v="96"/>
    <n v="0"/>
    <n v="0"/>
    <n v="0"/>
    <n v="0.23200000000000001"/>
    <n v="54"/>
    <x v="0"/>
  </r>
  <r>
    <n v="4"/>
    <n v="110"/>
    <n v="92"/>
    <n v="0"/>
    <n v="0"/>
    <n v="37.6"/>
    <n v="0.191"/>
    <n v="30"/>
    <x v="1"/>
  </r>
  <r>
    <n v="10"/>
    <n v="168"/>
    <n v="74"/>
    <n v="0"/>
    <n v="0"/>
    <n v="38"/>
    <n v="0.53700000000000003"/>
    <n v="34"/>
    <x v="0"/>
  </r>
  <r>
    <n v="10"/>
    <n v="139"/>
    <n v="80"/>
    <n v="0"/>
    <n v="0"/>
    <n v="27.1"/>
    <n v="1.4410000000000001"/>
    <n v="57"/>
    <x v="1"/>
  </r>
  <r>
    <n v="1"/>
    <n v="189"/>
    <n v="60"/>
    <n v="23"/>
    <n v="846"/>
    <n v="30.1"/>
    <n v="0.39800000000000002"/>
    <n v="59"/>
    <x v="0"/>
  </r>
  <r>
    <n v="5"/>
    <n v="166"/>
    <n v="72"/>
    <n v="19"/>
    <n v="175"/>
    <n v="25.8"/>
    <n v="0.58699999999999997"/>
    <n v="51"/>
    <x v="0"/>
  </r>
  <r>
    <n v="7"/>
    <n v="100"/>
    <n v="0"/>
    <n v="0"/>
    <n v="0"/>
    <n v="30"/>
    <n v="0.48399999999999999"/>
    <n v="32"/>
    <x v="0"/>
  </r>
  <r>
    <n v="0"/>
    <n v="118"/>
    <n v="84"/>
    <n v="47"/>
    <n v="230"/>
    <n v="45.8"/>
    <n v="0.55100000000000005"/>
    <n v="31"/>
    <x v="0"/>
  </r>
  <r>
    <n v="7"/>
    <n v="107"/>
    <n v="74"/>
    <n v="0"/>
    <n v="0"/>
    <n v="29.6"/>
    <n v="0.254"/>
    <n v="31"/>
    <x v="0"/>
  </r>
  <r>
    <n v="1"/>
    <n v="103"/>
    <n v="30"/>
    <n v="38"/>
    <n v="83"/>
    <n v="43.3"/>
    <n v="0.183"/>
    <n v="33"/>
    <x v="1"/>
  </r>
  <r>
    <n v="1"/>
    <n v="115"/>
    <n v="70"/>
    <n v="30"/>
    <n v="96"/>
    <n v="34.6"/>
    <n v="0.52900000000000003"/>
    <n v="32"/>
    <x v="0"/>
  </r>
  <r>
    <n v="3"/>
    <n v="126"/>
    <n v="88"/>
    <n v="41"/>
    <n v="235"/>
    <n v="39.299999999999997"/>
    <n v="0.70399999999999996"/>
    <n v="27"/>
    <x v="1"/>
  </r>
  <r>
    <n v="8"/>
    <n v="99"/>
    <n v="84"/>
    <n v="0"/>
    <n v="0"/>
    <n v="35.4"/>
    <n v="0.38800000000000001"/>
    <n v="50"/>
    <x v="1"/>
  </r>
  <r>
    <n v="7"/>
    <n v="196"/>
    <n v="90"/>
    <n v="0"/>
    <n v="0"/>
    <n v="39.799999999999997"/>
    <n v="0.45100000000000001"/>
    <n v="41"/>
    <x v="0"/>
  </r>
  <r>
    <n v="9"/>
    <n v="119"/>
    <n v="80"/>
    <n v="35"/>
    <n v="0"/>
    <n v="29"/>
    <n v="0.26300000000000001"/>
    <n v="29"/>
    <x v="0"/>
  </r>
  <r>
    <n v="11"/>
    <n v="143"/>
    <n v="94"/>
    <n v="33"/>
    <n v="146"/>
    <n v="36.6"/>
    <n v="0.254"/>
    <n v="51"/>
    <x v="0"/>
  </r>
  <r>
    <n v="10"/>
    <n v="125"/>
    <n v="70"/>
    <n v="26"/>
    <n v="115"/>
    <n v="31.1"/>
    <n v="0.20499999999999999"/>
    <n v="41"/>
    <x v="0"/>
  </r>
  <r>
    <n v="7"/>
    <n v="147"/>
    <n v="76"/>
    <n v="0"/>
    <n v="0"/>
    <n v="39.4"/>
    <n v="0.25700000000000001"/>
    <n v="43"/>
    <x v="0"/>
  </r>
  <r>
    <n v="1"/>
    <n v="97"/>
    <n v="66"/>
    <n v="15"/>
    <n v="140"/>
    <n v="23.2"/>
    <n v="0.48699999999999999"/>
    <n v="22"/>
    <x v="1"/>
  </r>
  <r>
    <n v="13"/>
    <n v="145"/>
    <n v="82"/>
    <n v="19"/>
    <n v="110"/>
    <n v="22.2"/>
    <n v="0.245"/>
    <n v="57"/>
    <x v="1"/>
  </r>
  <r>
    <n v="5"/>
    <n v="117"/>
    <n v="92"/>
    <n v="0"/>
    <n v="0"/>
    <n v="34.1"/>
    <n v="0.33700000000000002"/>
    <n v="38"/>
    <x v="1"/>
  </r>
  <r>
    <n v="5"/>
    <n v="109"/>
    <n v="75"/>
    <n v="26"/>
    <n v="0"/>
    <n v="36"/>
    <n v="0.54600000000000004"/>
    <n v="60"/>
    <x v="1"/>
  </r>
  <r>
    <n v="3"/>
    <n v="158"/>
    <n v="76"/>
    <n v="36"/>
    <n v="245"/>
    <n v="31.6"/>
    <n v="0.85099999999999998"/>
    <n v="28"/>
    <x v="0"/>
  </r>
  <r>
    <n v="3"/>
    <n v="88"/>
    <n v="58"/>
    <n v="11"/>
    <n v="54"/>
    <n v="24.8"/>
    <n v="0.26700000000000002"/>
    <n v="22"/>
    <x v="1"/>
  </r>
  <r>
    <n v="6"/>
    <n v="92"/>
    <n v="92"/>
    <n v="0"/>
    <n v="0"/>
    <n v="19.899999999999999"/>
    <n v="0.188"/>
    <n v="28"/>
    <x v="1"/>
  </r>
  <r>
    <n v="10"/>
    <n v="122"/>
    <n v="78"/>
    <n v="31"/>
    <n v="0"/>
    <n v="27.6"/>
    <n v="0.51200000000000001"/>
    <n v="45"/>
    <x v="1"/>
  </r>
  <r>
    <n v="4"/>
    <n v="103"/>
    <n v="60"/>
    <n v="33"/>
    <n v="192"/>
    <n v="24"/>
    <n v="0.96599999999999997"/>
    <n v="33"/>
    <x v="1"/>
  </r>
  <r>
    <n v="11"/>
    <n v="138"/>
    <n v="76"/>
    <n v="0"/>
    <n v="0"/>
    <n v="33.200000000000003"/>
    <n v="0.42"/>
    <n v="35"/>
    <x v="1"/>
  </r>
  <r>
    <n v="9"/>
    <n v="102"/>
    <n v="76"/>
    <n v="37"/>
    <n v="0"/>
    <n v="32.9"/>
    <n v="0.66500000000000004"/>
    <n v="46"/>
    <x v="0"/>
  </r>
  <r>
    <n v="2"/>
    <n v="90"/>
    <n v="68"/>
    <n v="42"/>
    <n v="0"/>
    <n v="38.200000000000003"/>
    <n v="0.503"/>
    <n v="27"/>
    <x v="0"/>
  </r>
  <r>
    <n v="4"/>
    <n v="111"/>
    <n v="72"/>
    <n v="47"/>
    <n v="207"/>
    <n v="37.1"/>
    <n v="1.39"/>
    <n v="56"/>
    <x v="0"/>
  </r>
  <r>
    <n v="3"/>
    <n v="180"/>
    <n v="64"/>
    <n v="25"/>
    <n v="70"/>
    <n v="34"/>
    <n v="0.27100000000000002"/>
    <n v="26"/>
    <x v="1"/>
  </r>
  <r>
    <n v="7"/>
    <n v="133"/>
    <n v="84"/>
    <n v="0"/>
    <n v="0"/>
    <n v="40.200000000000003"/>
    <n v="0.69599999999999995"/>
    <n v="37"/>
    <x v="1"/>
  </r>
  <r>
    <n v="7"/>
    <n v="106"/>
    <n v="92"/>
    <n v="18"/>
    <n v="0"/>
    <n v="22.7"/>
    <n v="0.23499999999999999"/>
    <n v="48"/>
    <x v="1"/>
  </r>
  <r>
    <n v="9"/>
    <n v="171"/>
    <n v="110"/>
    <n v="24"/>
    <n v="240"/>
    <n v="45.4"/>
    <n v="0.72099999999999997"/>
    <n v="54"/>
    <x v="0"/>
  </r>
  <r>
    <n v="7"/>
    <n v="159"/>
    <n v="64"/>
    <n v="0"/>
    <n v="0"/>
    <n v="27.4"/>
    <n v="0.29399999999999998"/>
    <n v="40"/>
    <x v="1"/>
  </r>
  <r>
    <n v="0"/>
    <n v="180"/>
    <n v="66"/>
    <n v="39"/>
    <n v="0"/>
    <n v="42"/>
    <n v="1.893"/>
    <n v="25"/>
    <x v="0"/>
  </r>
  <r>
    <n v="1"/>
    <n v="146"/>
    <n v="56"/>
    <n v="0"/>
    <n v="0"/>
    <n v="29.7"/>
    <n v="0.56399999999999995"/>
    <n v="29"/>
    <x v="1"/>
  </r>
  <r>
    <n v="2"/>
    <n v="71"/>
    <n v="70"/>
    <n v="27"/>
    <n v="0"/>
    <n v="28"/>
    <n v="0.58599999999999997"/>
    <n v="22"/>
    <x v="1"/>
  </r>
  <r>
    <n v="7"/>
    <n v="103"/>
    <n v="66"/>
    <n v="32"/>
    <n v="0"/>
    <n v="39.1"/>
    <n v="0.34399999999999997"/>
    <n v="31"/>
    <x v="0"/>
  </r>
  <r>
    <n v="7"/>
    <n v="105"/>
    <n v="0"/>
    <n v="0"/>
    <n v="0"/>
    <n v="0"/>
    <n v="0.30499999999999999"/>
    <n v="24"/>
    <x v="1"/>
  </r>
  <r>
    <n v="1"/>
    <n v="103"/>
    <n v="80"/>
    <n v="11"/>
    <n v="82"/>
    <n v="19.399999999999999"/>
    <n v="0.49099999999999999"/>
    <n v="22"/>
    <x v="1"/>
  </r>
  <r>
    <n v="1"/>
    <n v="101"/>
    <n v="50"/>
    <n v="15"/>
    <n v="36"/>
    <n v="24.2"/>
    <n v="0.52600000000000002"/>
    <n v="26"/>
    <x v="1"/>
  </r>
  <r>
    <n v="5"/>
    <n v="88"/>
    <n v="66"/>
    <n v="21"/>
    <n v="23"/>
    <n v="24.4"/>
    <n v="0.34200000000000003"/>
    <n v="30"/>
    <x v="1"/>
  </r>
  <r>
    <n v="8"/>
    <n v="176"/>
    <n v="90"/>
    <n v="34"/>
    <n v="300"/>
    <n v="33.700000000000003"/>
    <n v="0.46700000000000003"/>
    <n v="58"/>
    <x v="0"/>
  </r>
  <r>
    <n v="7"/>
    <n v="150"/>
    <n v="66"/>
    <n v="42"/>
    <n v="342"/>
    <n v="34.700000000000003"/>
    <n v="0.71799999999999997"/>
    <n v="42"/>
    <x v="1"/>
  </r>
  <r>
    <n v="1"/>
    <n v="73"/>
    <n v="50"/>
    <n v="10"/>
    <n v="0"/>
    <n v="23"/>
    <n v="0.248"/>
    <n v="21"/>
    <x v="1"/>
  </r>
  <r>
    <n v="7"/>
    <n v="187"/>
    <n v="68"/>
    <n v="39"/>
    <n v="304"/>
    <n v="37.700000000000003"/>
    <n v="0.254"/>
    <n v="41"/>
    <x v="0"/>
  </r>
  <r>
    <n v="0"/>
    <n v="100"/>
    <n v="88"/>
    <n v="60"/>
    <n v="110"/>
    <n v="46.8"/>
    <n v="0.96199999999999997"/>
    <n v="31"/>
    <x v="1"/>
  </r>
  <r>
    <n v="0"/>
    <n v="146"/>
    <n v="82"/>
    <n v="0"/>
    <n v="0"/>
    <n v="40.5"/>
    <n v="1.7809999999999999"/>
    <n v="44"/>
    <x v="1"/>
  </r>
  <r>
    <n v="0"/>
    <n v="105"/>
    <n v="64"/>
    <n v="41"/>
    <n v="142"/>
    <n v="41.5"/>
    <n v="0.17299999999999999"/>
    <n v="22"/>
    <x v="1"/>
  </r>
  <r>
    <n v="2"/>
    <n v="84"/>
    <n v="0"/>
    <n v="0"/>
    <n v="0"/>
    <n v="0"/>
    <n v="0.30399999999999999"/>
    <n v="21"/>
    <x v="1"/>
  </r>
  <r>
    <n v="8"/>
    <n v="133"/>
    <n v="72"/>
    <n v="0"/>
    <n v="0"/>
    <n v="32.9"/>
    <n v="0.27"/>
    <n v="39"/>
    <x v="0"/>
  </r>
  <r>
    <n v="5"/>
    <n v="44"/>
    <n v="62"/>
    <n v="0"/>
    <n v="0"/>
    <n v="25"/>
    <n v="0.58699999999999997"/>
    <n v="36"/>
    <x v="1"/>
  </r>
  <r>
    <n v="2"/>
    <n v="141"/>
    <n v="58"/>
    <n v="34"/>
    <n v="128"/>
    <n v="25.4"/>
    <n v="0.69899999999999995"/>
    <n v="24"/>
    <x v="1"/>
  </r>
  <r>
    <n v="7"/>
    <n v="114"/>
    <n v="66"/>
    <n v="0"/>
    <n v="0"/>
    <n v="32.799999999999997"/>
    <n v="0.25800000000000001"/>
    <n v="42"/>
    <x v="0"/>
  </r>
  <r>
    <n v="5"/>
    <n v="99"/>
    <n v="74"/>
    <n v="27"/>
    <n v="0"/>
    <n v="29"/>
    <n v="0.20300000000000001"/>
    <n v="32"/>
    <x v="1"/>
  </r>
  <r>
    <n v="0"/>
    <n v="109"/>
    <n v="88"/>
    <n v="30"/>
    <n v="0"/>
    <n v="32.5"/>
    <n v="0.85499999999999998"/>
    <n v="38"/>
    <x v="0"/>
  </r>
  <r>
    <n v="2"/>
    <n v="109"/>
    <n v="92"/>
    <n v="0"/>
    <n v="0"/>
    <n v="42.7"/>
    <n v="0.84499999999999997"/>
    <n v="54"/>
    <x v="1"/>
  </r>
  <r>
    <n v="1"/>
    <n v="95"/>
    <n v="66"/>
    <n v="13"/>
    <n v="38"/>
    <n v="19.600000000000001"/>
    <n v="0.33400000000000002"/>
    <n v="25"/>
    <x v="1"/>
  </r>
  <r>
    <n v="4"/>
    <n v="146"/>
    <n v="85"/>
    <n v="27"/>
    <n v="100"/>
    <n v="28.9"/>
    <n v="0.189"/>
    <n v="27"/>
    <x v="1"/>
  </r>
  <r>
    <n v="2"/>
    <n v="100"/>
    <n v="66"/>
    <n v="20"/>
    <n v="90"/>
    <n v="32.9"/>
    <n v="0.86699999999999999"/>
    <n v="28"/>
    <x v="0"/>
  </r>
  <r>
    <n v="5"/>
    <n v="139"/>
    <n v="64"/>
    <n v="35"/>
    <n v="140"/>
    <n v="28.6"/>
    <n v="0.41099999999999998"/>
    <n v="26"/>
    <x v="1"/>
  </r>
  <r>
    <n v="13"/>
    <n v="126"/>
    <n v="90"/>
    <n v="0"/>
    <n v="0"/>
    <n v="43.4"/>
    <n v="0.58299999999999996"/>
    <n v="42"/>
    <x v="0"/>
  </r>
  <r>
    <n v="4"/>
    <n v="129"/>
    <n v="86"/>
    <n v="20"/>
    <n v="270"/>
    <n v="35.1"/>
    <n v="0.23100000000000001"/>
    <n v="23"/>
    <x v="1"/>
  </r>
  <r>
    <n v="1"/>
    <n v="79"/>
    <n v="75"/>
    <n v="30"/>
    <n v="0"/>
    <n v="32"/>
    <n v="0.39600000000000002"/>
    <n v="22"/>
    <x v="1"/>
  </r>
  <r>
    <n v="1"/>
    <n v="0"/>
    <n v="48"/>
    <n v="20"/>
    <n v="0"/>
    <n v="24.7"/>
    <n v="0.14000000000000001"/>
    <n v="22"/>
    <x v="1"/>
  </r>
  <r>
    <n v="7"/>
    <n v="62"/>
    <n v="78"/>
    <n v="0"/>
    <n v="0"/>
    <n v="32.6"/>
    <n v="0.39100000000000001"/>
    <n v="41"/>
    <x v="1"/>
  </r>
  <r>
    <n v="5"/>
    <n v="95"/>
    <n v="72"/>
    <n v="33"/>
    <n v="0"/>
    <n v="37.700000000000003"/>
    <n v="0.37"/>
    <n v="27"/>
    <x v="1"/>
  </r>
  <r>
    <n v="0"/>
    <n v="131"/>
    <n v="0"/>
    <n v="0"/>
    <n v="0"/>
    <n v="43.2"/>
    <n v="0.27"/>
    <n v="26"/>
    <x v="0"/>
  </r>
  <r>
    <n v="2"/>
    <n v="112"/>
    <n v="66"/>
    <n v="22"/>
    <n v="0"/>
    <n v="25"/>
    <n v="0.307"/>
    <n v="24"/>
    <x v="1"/>
  </r>
  <r>
    <n v="3"/>
    <n v="113"/>
    <n v="44"/>
    <n v="13"/>
    <n v="0"/>
    <n v="22.4"/>
    <n v="0.14000000000000001"/>
    <n v="22"/>
    <x v="1"/>
  </r>
  <r>
    <n v="2"/>
    <n v="74"/>
    <n v="0"/>
    <n v="0"/>
    <n v="0"/>
    <n v="0"/>
    <n v="0.10199999999999999"/>
    <n v="22"/>
    <x v="1"/>
  </r>
  <r>
    <n v="7"/>
    <n v="83"/>
    <n v="78"/>
    <n v="26"/>
    <n v="71"/>
    <n v="29.3"/>
    <n v="0.76700000000000002"/>
    <n v="36"/>
    <x v="1"/>
  </r>
  <r>
    <n v="0"/>
    <n v="101"/>
    <n v="65"/>
    <n v="28"/>
    <n v="0"/>
    <n v="24.6"/>
    <n v="0.23699999999999999"/>
    <n v="22"/>
    <x v="1"/>
  </r>
  <r>
    <n v="5"/>
    <n v="137"/>
    <n v="108"/>
    <n v="0"/>
    <n v="0"/>
    <n v="48.8"/>
    <n v="0.22700000000000001"/>
    <n v="37"/>
    <x v="0"/>
  </r>
  <r>
    <n v="2"/>
    <n v="110"/>
    <n v="74"/>
    <n v="29"/>
    <n v="125"/>
    <n v="32.4"/>
    <n v="0.69799999999999995"/>
    <n v="27"/>
    <x v="1"/>
  </r>
  <r>
    <n v="13"/>
    <n v="106"/>
    <n v="72"/>
    <n v="54"/>
    <n v="0"/>
    <n v="36.6"/>
    <n v="0.17799999999999999"/>
    <n v="45"/>
    <x v="1"/>
  </r>
  <r>
    <n v="2"/>
    <n v="100"/>
    <n v="68"/>
    <n v="25"/>
    <n v="71"/>
    <n v="38.5"/>
    <n v="0.32400000000000001"/>
    <n v="26"/>
    <x v="1"/>
  </r>
  <r>
    <n v="15"/>
    <n v="136"/>
    <n v="70"/>
    <n v="32"/>
    <n v="110"/>
    <n v="37.1"/>
    <n v="0.153"/>
    <n v="43"/>
    <x v="0"/>
  </r>
  <r>
    <n v="1"/>
    <n v="107"/>
    <n v="68"/>
    <n v="19"/>
    <n v="0"/>
    <n v="26.5"/>
    <n v="0.16500000000000001"/>
    <n v="24"/>
    <x v="1"/>
  </r>
  <r>
    <n v="1"/>
    <n v="80"/>
    <n v="55"/>
    <n v="0"/>
    <n v="0"/>
    <n v="19.100000000000001"/>
    <n v="0.25800000000000001"/>
    <n v="21"/>
    <x v="1"/>
  </r>
  <r>
    <n v="4"/>
    <n v="123"/>
    <n v="80"/>
    <n v="15"/>
    <n v="176"/>
    <n v="32"/>
    <n v="0.443"/>
    <n v="34"/>
    <x v="1"/>
  </r>
  <r>
    <n v="7"/>
    <n v="81"/>
    <n v="78"/>
    <n v="40"/>
    <n v="48"/>
    <n v="46.7"/>
    <n v="0.26100000000000001"/>
    <n v="42"/>
    <x v="1"/>
  </r>
  <r>
    <n v="4"/>
    <n v="134"/>
    <n v="72"/>
    <n v="0"/>
    <n v="0"/>
    <n v="23.8"/>
    <n v="0.27700000000000002"/>
    <n v="60"/>
    <x v="0"/>
  </r>
  <r>
    <n v="2"/>
    <n v="142"/>
    <n v="82"/>
    <n v="18"/>
    <n v="64"/>
    <n v="24.7"/>
    <n v="0.76100000000000001"/>
    <n v="21"/>
    <x v="1"/>
  </r>
  <r>
    <n v="6"/>
    <n v="144"/>
    <n v="72"/>
    <n v="27"/>
    <n v="228"/>
    <n v="33.9"/>
    <n v="0.255"/>
    <n v="40"/>
    <x v="1"/>
  </r>
  <r>
    <n v="2"/>
    <n v="92"/>
    <n v="62"/>
    <n v="28"/>
    <n v="0"/>
    <n v="31.6"/>
    <n v="0.13"/>
    <n v="24"/>
    <x v="1"/>
  </r>
  <r>
    <n v="1"/>
    <n v="71"/>
    <n v="48"/>
    <n v="18"/>
    <n v="76"/>
    <n v="20.399999999999999"/>
    <n v="0.32300000000000001"/>
    <n v="22"/>
    <x v="1"/>
  </r>
  <r>
    <n v="6"/>
    <n v="93"/>
    <n v="50"/>
    <n v="30"/>
    <n v="64"/>
    <n v="28.7"/>
    <n v="0.35599999999999998"/>
    <n v="23"/>
    <x v="1"/>
  </r>
  <r>
    <n v="1"/>
    <n v="122"/>
    <n v="90"/>
    <n v="51"/>
    <n v="220"/>
    <n v="49.7"/>
    <n v="0.32500000000000001"/>
    <n v="31"/>
    <x v="0"/>
  </r>
  <r>
    <n v="1"/>
    <n v="163"/>
    <n v="72"/>
    <n v="0"/>
    <n v="0"/>
    <n v="39"/>
    <n v="1.222"/>
    <n v="33"/>
    <x v="0"/>
  </r>
  <r>
    <n v="1"/>
    <n v="151"/>
    <n v="60"/>
    <n v="0"/>
    <n v="0"/>
    <n v="26.1"/>
    <n v="0.17899999999999999"/>
    <n v="22"/>
    <x v="1"/>
  </r>
  <r>
    <n v="0"/>
    <n v="125"/>
    <n v="96"/>
    <n v="0"/>
    <n v="0"/>
    <n v="22.5"/>
    <n v="0.26200000000000001"/>
    <n v="21"/>
    <x v="1"/>
  </r>
  <r>
    <n v="1"/>
    <n v="81"/>
    <n v="72"/>
    <n v="18"/>
    <n v="40"/>
    <n v="26.6"/>
    <n v="0.28299999999999997"/>
    <n v="24"/>
    <x v="1"/>
  </r>
  <r>
    <n v="2"/>
    <n v="85"/>
    <n v="65"/>
    <n v="0"/>
    <n v="0"/>
    <n v="39.6"/>
    <n v="0.93"/>
    <n v="27"/>
    <x v="1"/>
  </r>
  <r>
    <n v="1"/>
    <n v="126"/>
    <n v="56"/>
    <n v="29"/>
    <n v="152"/>
    <n v="28.7"/>
    <n v="0.80100000000000005"/>
    <n v="21"/>
    <x v="1"/>
  </r>
  <r>
    <n v="1"/>
    <n v="96"/>
    <n v="122"/>
    <n v="0"/>
    <n v="0"/>
    <n v="22.4"/>
    <n v="0.20699999999999999"/>
    <n v="27"/>
    <x v="1"/>
  </r>
  <r>
    <n v="4"/>
    <n v="144"/>
    <n v="58"/>
    <n v="28"/>
    <n v="140"/>
    <n v="29.5"/>
    <n v="0.28699999999999998"/>
    <n v="37"/>
    <x v="1"/>
  </r>
  <r>
    <n v="3"/>
    <n v="83"/>
    <n v="58"/>
    <n v="31"/>
    <n v="18"/>
    <n v="34.299999999999997"/>
    <n v="0.33600000000000002"/>
    <n v="25"/>
    <x v="1"/>
  </r>
  <r>
    <n v="0"/>
    <n v="95"/>
    <n v="85"/>
    <n v="25"/>
    <n v="36"/>
    <n v="37.4"/>
    <n v="0.247"/>
    <n v="24"/>
    <x v="0"/>
  </r>
  <r>
    <n v="3"/>
    <n v="171"/>
    <n v="72"/>
    <n v="33"/>
    <n v="135"/>
    <n v="33.299999999999997"/>
    <n v="0.19900000000000001"/>
    <n v="24"/>
    <x v="0"/>
  </r>
  <r>
    <n v="8"/>
    <n v="155"/>
    <n v="62"/>
    <n v="26"/>
    <n v="495"/>
    <n v="34"/>
    <n v="0.54300000000000004"/>
    <n v="46"/>
    <x v="0"/>
  </r>
  <r>
    <n v="1"/>
    <n v="89"/>
    <n v="76"/>
    <n v="34"/>
    <n v="37"/>
    <n v="31.2"/>
    <n v="0.192"/>
    <n v="23"/>
    <x v="1"/>
  </r>
  <r>
    <n v="4"/>
    <n v="76"/>
    <n v="62"/>
    <n v="0"/>
    <n v="0"/>
    <n v="34"/>
    <n v="0.39100000000000001"/>
    <n v="25"/>
    <x v="1"/>
  </r>
  <r>
    <n v="7"/>
    <n v="160"/>
    <n v="54"/>
    <n v="32"/>
    <n v="175"/>
    <n v="30.5"/>
    <n v="0.58799999999999997"/>
    <n v="39"/>
    <x v="0"/>
  </r>
  <r>
    <n v="4"/>
    <n v="146"/>
    <n v="92"/>
    <n v="0"/>
    <n v="0"/>
    <n v="31.2"/>
    <n v="0.53900000000000003"/>
    <n v="61"/>
    <x v="0"/>
  </r>
  <r>
    <n v="5"/>
    <n v="124"/>
    <n v="74"/>
    <n v="0"/>
    <n v="0"/>
    <n v="34"/>
    <n v="0.22"/>
    <n v="38"/>
    <x v="0"/>
  </r>
  <r>
    <n v="5"/>
    <n v="78"/>
    <n v="48"/>
    <n v="0"/>
    <n v="0"/>
    <n v="33.700000000000003"/>
    <n v="0.65400000000000003"/>
    <n v="25"/>
    <x v="1"/>
  </r>
  <r>
    <n v="4"/>
    <n v="97"/>
    <n v="60"/>
    <n v="23"/>
    <n v="0"/>
    <n v="28.2"/>
    <n v="0.443"/>
    <n v="22"/>
    <x v="1"/>
  </r>
  <r>
    <n v="4"/>
    <n v="99"/>
    <n v="76"/>
    <n v="15"/>
    <n v="51"/>
    <n v="23.2"/>
    <n v="0.223"/>
    <n v="21"/>
    <x v="1"/>
  </r>
  <r>
    <n v="0"/>
    <n v="162"/>
    <n v="76"/>
    <n v="56"/>
    <n v="100"/>
    <n v="53.2"/>
    <n v="0.75900000000000001"/>
    <n v="25"/>
    <x v="0"/>
  </r>
  <r>
    <n v="6"/>
    <n v="111"/>
    <n v="64"/>
    <n v="39"/>
    <n v="0"/>
    <n v="34.200000000000003"/>
    <n v="0.26"/>
    <n v="24"/>
    <x v="1"/>
  </r>
  <r>
    <n v="2"/>
    <n v="107"/>
    <n v="74"/>
    <n v="30"/>
    <n v="100"/>
    <n v="33.6"/>
    <n v="0.40400000000000003"/>
    <n v="23"/>
    <x v="1"/>
  </r>
  <r>
    <n v="5"/>
    <n v="132"/>
    <n v="80"/>
    <n v="0"/>
    <n v="0"/>
    <n v="26.8"/>
    <n v="0.186"/>
    <n v="69"/>
    <x v="1"/>
  </r>
  <r>
    <n v="0"/>
    <n v="113"/>
    <n v="76"/>
    <n v="0"/>
    <n v="0"/>
    <n v="33.299999999999997"/>
    <n v="0.27800000000000002"/>
    <n v="23"/>
    <x v="0"/>
  </r>
  <r>
    <n v="1"/>
    <n v="88"/>
    <n v="30"/>
    <n v="42"/>
    <n v="99"/>
    <n v="55"/>
    <n v="0.496"/>
    <n v="26"/>
    <x v="0"/>
  </r>
  <r>
    <n v="3"/>
    <n v="120"/>
    <n v="70"/>
    <n v="30"/>
    <n v="135"/>
    <n v="42.9"/>
    <n v="0.45200000000000001"/>
    <n v="30"/>
    <x v="1"/>
  </r>
  <r>
    <n v="1"/>
    <n v="118"/>
    <n v="58"/>
    <n v="36"/>
    <n v="94"/>
    <n v="33.299999999999997"/>
    <n v="0.26100000000000001"/>
    <n v="23"/>
    <x v="1"/>
  </r>
  <r>
    <n v="1"/>
    <n v="117"/>
    <n v="88"/>
    <n v="24"/>
    <n v="145"/>
    <n v="34.5"/>
    <n v="0.40300000000000002"/>
    <n v="40"/>
    <x v="0"/>
  </r>
  <r>
    <n v="0"/>
    <n v="105"/>
    <n v="84"/>
    <n v="0"/>
    <n v="0"/>
    <n v="27.9"/>
    <n v="0.74099999999999999"/>
    <n v="62"/>
    <x v="0"/>
  </r>
  <r>
    <n v="4"/>
    <n v="173"/>
    <n v="70"/>
    <n v="14"/>
    <n v="168"/>
    <n v="29.7"/>
    <n v="0.36099999999999999"/>
    <n v="33"/>
    <x v="0"/>
  </r>
  <r>
    <n v="9"/>
    <n v="122"/>
    <n v="56"/>
    <n v="0"/>
    <n v="0"/>
    <n v="33.299999999999997"/>
    <n v="1.1140000000000001"/>
    <n v="33"/>
    <x v="0"/>
  </r>
  <r>
    <n v="3"/>
    <n v="170"/>
    <n v="64"/>
    <n v="37"/>
    <n v="225"/>
    <n v="34.5"/>
    <n v="0.35599999999999998"/>
    <n v="30"/>
    <x v="0"/>
  </r>
  <r>
    <n v="8"/>
    <n v="84"/>
    <n v="74"/>
    <n v="31"/>
    <n v="0"/>
    <n v="38.299999999999997"/>
    <n v="0.45700000000000002"/>
    <n v="39"/>
    <x v="1"/>
  </r>
  <r>
    <n v="2"/>
    <n v="96"/>
    <n v="68"/>
    <n v="13"/>
    <n v="49"/>
    <n v="21.1"/>
    <n v="0.64700000000000002"/>
    <n v="26"/>
    <x v="1"/>
  </r>
  <r>
    <n v="2"/>
    <n v="125"/>
    <n v="60"/>
    <n v="20"/>
    <n v="140"/>
    <n v="33.799999999999997"/>
    <n v="8.7999999999999995E-2"/>
    <n v="31"/>
    <x v="1"/>
  </r>
  <r>
    <n v="0"/>
    <n v="100"/>
    <n v="70"/>
    <n v="26"/>
    <n v="50"/>
    <n v="30.8"/>
    <n v="0.59699999999999998"/>
    <n v="21"/>
    <x v="1"/>
  </r>
  <r>
    <n v="0"/>
    <n v="93"/>
    <n v="60"/>
    <n v="25"/>
    <n v="92"/>
    <n v="28.7"/>
    <n v="0.53200000000000003"/>
    <n v="22"/>
    <x v="1"/>
  </r>
  <r>
    <n v="0"/>
    <n v="129"/>
    <n v="80"/>
    <n v="0"/>
    <n v="0"/>
    <n v="31.2"/>
    <n v="0.70299999999999996"/>
    <n v="29"/>
    <x v="1"/>
  </r>
  <r>
    <n v="5"/>
    <n v="105"/>
    <n v="72"/>
    <n v="29"/>
    <n v="325"/>
    <n v="36.9"/>
    <n v="0.159"/>
    <n v="28"/>
    <x v="1"/>
  </r>
  <r>
    <n v="3"/>
    <n v="128"/>
    <n v="78"/>
    <n v="0"/>
    <n v="0"/>
    <n v="21.1"/>
    <n v="0.26800000000000002"/>
    <n v="55"/>
    <x v="1"/>
  </r>
  <r>
    <n v="5"/>
    <n v="106"/>
    <n v="82"/>
    <n v="30"/>
    <n v="0"/>
    <n v="39.5"/>
    <n v="0.28599999999999998"/>
    <n v="38"/>
    <x v="1"/>
  </r>
  <r>
    <n v="2"/>
    <n v="108"/>
    <n v="52"/>
    <n v="26"/>
    <n v="63"/>
    <n v="32.5"/>
    <n v="0.318"/>
    <n v="22"/>
    <x v="1"/>
  </r>
  <r>
    <n v="10"/>
    <n v="108"/>
    <n v="66"/>
    <n v="0"/>
    <n v="0"/>
    <n v="32.4"/>
    <n v="0.27200000000000002"/>
    <n v="42"/>
    <x v="0"/>
  </r>
  <r>
    <n v="4"/>
    <n v="154"/>
    <n v="62"/>
    <n v="31"/>
    <n v="284"/>
    <n v="32.799999999999997"/>
    <n v="0.23699999999999999"/>
    <n v="23"/>
    <x v="1"/>
  </r>
  <r>
    <n v="0"/>
    <n v="102"/>
    <n v="75"/>
    <n v="23"/>
    <n v="0"/>
    <n v="0"/>
    <n v="0.57199999999999995"/>
    <n v="21"/>
    <x v="1"/>
  </r>
  <r>
    <n v="9"/>
    <n v="57"/>
    <n v="80"/>
    <n v="37"/>
    <n v="0"/>
    <n v="32.799999999999997"/>
    <n v="9.6000000000000002E-2"/>
    <n v="41"/>
    <x v="1"/>
  </r>
  <r>
    <n v="2"/>
    <n v="106"/>
    <n v="64"/>
    <n v="35"/>
    <n v="119"/>
    <n v="30.5"/>
    <n v="1.4"/>
    <n v="34"/>
    <x v="1"/>
  </r>
  <r>
    <n v="5"/>
    <n v="147"/>
    <n v="78"/>
    <n v="0"/>
    <n v="0"/>
    <n v="33.700000000000003"/>
    <n v="0.218"/>
    <n v="65"/>
    <x v="1"/>
  </r>
  <r>
    <n v="2"/>
    <n v="90"/>
    <n v="70"/>
    <n v="17"/>
    <n v="0"/>
    <n v="27.3"/>
    <n v="8.5000000000000006E-2"/>
    <n v="22"/>
    <x v="1"/>
  </r>
  <r>
    <n v="1"/>
    <n v="136"/>
    <n v="74"/>
    <n v="50"/>
    <n v="204"/>
    <n v="37.4"/>
    <n v="0.39900000000000002"/>
    <n v="24"/>
    <x v="1"/>
  </r>
  <r>
    <n v="4"/>
    <n v="114"/>
    <n v="65"/>
    <n v="0"/>
    <n v="0"/>
    <n v="21.9"/>
    <n v="0.432"/>
    <n v="37"/>
    <x v="1"/>
  </r>
  <r>
    <n v="9"/>
    <n v="156"/>
    <n v="86"/>
    <n v="28"/>
    <n v="155"/>
    <n v="34.299999999999997"/>
    <n v="1.1890000000000001"/>
    <n v="42"/>
    <x v="0"/>
  </r>
  <r>
    <n v="1"/>
    <n v="153"/>
    <n v="82"/>
    <n v="42"/>
    <n v="485"/>
    <n v="40.6"/>
    <n v="0.68700000000000006"/>
    <n v="23"/>
    <x v="1"/>
  </r>
  <r>
    <n v="8"/>
    <n v="188"/>
    <n v="78"/>
    <n v="0"/>
    <n v="0"/>
    <n v="47.9"/>
    <n v="0.13700000000000001"/>
    <n v="43"/>
    <x v="0"/>
  </r>
  <r>
    <n v="7"/>
    <n v="152"/>
    <n v="88"/>
    <n v="44"/>
    <n v="0"/>
    <n v="50"/>
    <n v="0.33700000000000002"/>
    <n v="36"/>
    <x v="0"/>
  </r>
  <r>
    <n v="2"/>
    <n v="99"/>
    <n v="52"/>
    <n v="15"/>
    <n v="94"/>
    <n v="24.6"/>
    <n v="0.63700000000000001"/>
    <n v="21"/>
    <x v="1"/>
  </r>
  <r>
    <n v="1"/>
    <n v="109"/>
    <n v="56"/>
    <n v="21"/>
    <n v="135"/>
    <n v="25.2"/>
    <n v="0.83299999999999996"/>
    <n v="23"/>
    <x v="1"/>
  </r>
  <r>
    <n v="2"/>
    <n v="88"/>
    <n v="74"/>
    <n v="19"/>
    <n v="53"/>
    <n v="29"/>
    <n v="0.22900000000000001"/>
    <n v="22"/>
    <x v="1"/>
  </r>
  <r>
    <n v="17"/>
    <n v="163"/>
    <n v="72"/>
    <n v="41"/>
    <n v="114"/>
    <n v="40.9"/>
    <n v="0.81699999999999995"/>
    <n v="47"/>
    <x v="0"/>
  </r>
  <r>
    <n v="4"/>
    <n v="151"/>
    <n v="90"/>
    <n v="38"/>
    <n v="0"/>
    <n v="29.7"/>
    <n v="0.29399999999999998"/>
    <n v="36"/>
    <x v="1"/>
  </r>
  <r>
    <n v="7"/>
    <n v="102"/>
    <n v="74"/>
    <n v="40"/>
    <n v="105"/>
    <n v="37.200000000000003"/>
    <n v="0.20399999999999999"/>
    <n v="45"/>
    <x v="1"/>
  </r>
  <r>
    <n v="0"/>
    <n v="114"/>
    <n v="80"/>
    <n v="34"/>
    <n v="285"/>
    <n v="44.2"/>
    <n v="0.16700000000000001"/>
    <n v="27"/>
    <x v="1"/>
  </r>
  <r>
    <n v="2"/>
    <n v="100"/>
    <n v="64"/>
    <n v="23"/>
    <n v="0"/>
    <n v="29.7"/>
    <n v="0.36799999999999999"/>
    <n v="21"/>
    <x v="1"/>
  </r>
  <r>
    <n v="0"/>
    <n v="131"/>
    <n v="88"/>
    <n v="0"/>
    <n v="0"/>
    <n v="31.6"/>
    <n v="0.74299999999999999"/>
    <n v="32"/>
    <x v="0"/>
  </r>
  <r>
    <n v="6"/>
    <n v="104"/>
    <n v="74"/>
    <n v="18"/>
    <n v="156"/>
    <n v="29.9"/>
    <n v="0.72199999999999998"/>
    <n v="41"/>
    <x v="0"/>
  </r>
  <r>
    <n v="3"/>
    <n v="148"/>
    <n v="66"/>
    <n v="25"/>
    <n v="0"/>
    <n v="32.5"/>
    <n v="0.25600000000000001"/>
    <n v="22"/>
    <x v="1"/>
  </r>
  <r>
    <n v="4"/>
    <n v="120"/>
    <n v="68"/>
    <n v="0"/>
    <n v="0"/>
    <n v="29.6"/>
    <n v="0.70899999999999996"/>
    <n v="34"/>
    <x v="1"/>
  </r>
  <r>
    <n v="4"/>
    <n v="110"/>
    <n v="66"/>
    <n v="0"/>
    <n v="0"/>
    <n v="31.9"/>
    <n v="0.47099999999999997"/>
    <n v="29"/>
    <x v="1"/>
  </r>
  <r>
    <n v="3"/>
    <n v="111"/>
    <n v="90"/>
    <n v="12"/>
    <n v="78"/>
    <n v="28.4"/>
    <n v="0.495"/>
    <n v="29"/>
    <x v="1"/>
  </r>
  <r>
    <n v="6"/>
    <n v="102"/>
    <n v="82"/>
    <n v="0"/>
    <n v="0"/>
    <n v="30.8"/>
    <n v="0.18"/>
    <n v="36"/>
    <x v="0"/>
  </r>
  <r>
    <n v="6"/>
    <n v="134"/>
    <n v="70"/>
    <n v="23"/>
    <n v="130"/>
    <n v="35.4"/>
    <n v="0.54200000000000004"/>
    <n v="29"/>
    <x v="0"/>
  </r>
  <r>
    <n v="2"/>
    <n v="87"/>
    <n v="0"/>
    <n v="23"/>
    <n v="0"/>
    <n v="28.9"/>
    <n v="0.77300000000000002"/>
    <n v="25"/>
    <x v="1"/>
  </r>
  <r>
    <n v="1"/>
    <n v="79"/>
    <n v="60"/>
    <n v="42"/>
    <n v="48"/>
    <n v="43.5"/>
    <n v="0.67800000000000005"/>
    <n v="23"/>
    <x v="1"/>
  </r>
  <r>
    <n v="2"/>
    <n v="75"/>
    <n v="64"/>
    <n v="24"/>
    <n v="55"/>
    <n v="29.7"/>
    <n v="0.37"/>
    <n v="33"/>
    <x v="1"/>
  </r>
  <r>
    <n v="8"/>
    <n v="179"/>
    <n v="72"/>
    <n v="42"/>
    <n v="130"/>
    <n v="32.700000000000003"/>
    <n v="0.71899999999999997"/>
    <n v="36"/>
    <x v="0"/>
  </r>
  <r>
    <n v="6"/>
    <n v="85"/>
    <n v="78"/>
    <n v="0"/>
    <n v="0"/>
    <n v="31.2"/>
    <n v="0.38200000000000001"/>
    <n v="42"/>
    <x v="1"/>
  </r>
  <r>
    <n v="0"/>
    <n v="129"/>
    <n v="110"/>
    <n v="46"/>
    <n v="130"/>
    <n v="67.099999999999994"/>
    <n v="0.31900000000000001"/>
    <n v="26"/>
    <x v="0"/>
  </r>
  <r>
    <n v="5"/>
    <n v="143"/>
    <n v="78"/>
    <n v="0"/>
    <n v="0"/>
    <n v="45"/>
    <n v="0.19"/>
    <n v="47"/>
    <x v="1"/>
  </r>
  <r>
    <n v="5"/>
    <n v="130"/>
    <n v="82"/>
    <n v="0"/>
    <n v="0"/>
    <n v="39.1"/>
    <n v="0.95599999999999996"/>
    <n v="37"/>
    <x v="0"/>
  </r>
  <r>
    <n v="6"/>
    <n v="87"/>
    <n v="80"/>
    <n v="0"/>
    <n v="0"/>
    <n v="23.2"/>
    <n v="8.4000000000000005E-2"/>
    <n v="32"/>
    <x v="1"/>
  </r>
  <r>
    <n v="0"/>
    <n v="119"/>
    <n v="64"/>
    <n v="18"/>
    <n v="92"/>
    <n v="34.9"/>
    <n v="0.72499999999999998"/>
    <n v="23"/>
    <x v="1"/>
  </r>
  <r>
    <n v="1"/>
    <n v="0"/>
    <n v="74"/>
    <n v="20"/>
    <n v="23"/>
    <n v="27.7"/>
    <n v="0.29899999999999999"/>
    <n v="21"/>
    <x v="1"/>
  </r>
  <r>
    <n v="5"/>
    <n v="73"/>
    <n v="60"/>
    <n v="0"/>
    <n v="0"/>
    <n v="26.8"/>
    <n v="0.26800000000000002"/>
    <n v="27"/>
    <x v="1"/>
  </r>
  <r>
    <n v="4"/>
    <n v="141"/>
    <n v="74"/>
    <n v="0"/>
    <n v="0"/>
    <n v="27.6"/>
    <n v="0.24399999999999999"/>
    <n v="40"/>
    <x v="1"/>
  </r>
  <r>
    <n v="7"/>
    <n v="194"/>
    <n v="68"/>
    <n v="28"/>
    <n v="0"/>
    <n v="35.9"/>
    <n v="0.745"/>
    <n v="41"/>
    <x v="0"/>
  </r>
  <r>
    <n v="8"/>
    <n v="181"/>
    <n v="68"/>
    <n v="36"/>
    <n v="495"/>
    <n v="30.1"/>
    <n v="0.61499999999999999"/>
    <n v="60"/>
    <x v="0"/>
  </r>
  <r>
    <n v="1"/>
    <n v="128"/>
    <n v="98"/>
    <n v="41"/>
    <n v="58"/>
    <n v="32"/>
    <n v="1.321"/>
    <n v="33"/>
    <x v="0"/>
  </r>
  <r>
    <n v="8"/>
    <n v="109"/>
    <n v="76"/>
    <n v="39"/>
    <n v="114"/>
    <n v="27.9"/>
    <n v="0.64"/>
    <n v="31"/>
    <x v="0"/>
  </r>
  <r>
    <n v="5"/>
    <n v="139"/>
    <n v="80"/>
    <n v="35"/>
    <n v="160"/>
    <n v="31.6"/>
    <n v="0.36099999999999999"/>
    <n v="25"/>
    <x v="0"/>
  </r>
  <r>
    <n v="3"/>
    <n v="111"/>
    <n v="62"/>
    <n v="0"/>
    <n v="0"/>
    <n v="22.6"/>
    <n v="0.14199999999999999"/>
    <n v="21"/>
    <x v="1"/>
  </r>
  <r>
    <n v="9"/>
    <n v="123"/>
    <n v="70"/>
    <n v="44"/>
    <n v="94"/>
    <n v="33.1"/>
    <n v="0.374"/>
    <n v="40"/>
    <x v="1"/>
  </r>
  <r>
    <n v="7"/>
    <n v="159"/>
    <n v="66"/>
    <n v="0"/>
    <n v="0"/>
    <n v="30.4"/>
    <n v="0.38300000000000001"/>
    <n v="36"/>
    <x v="0"/>
  </r>
  <r>
    <n v="11"/>
    <n v="135"/>
    <n v="0"/>
    <n v="0"/>
    <n v="0"/>
    <n v="52.3"/>
    <n v="0.57799999999999996"/>
    <n v="40"/>
    <x v="0"/>
  </r>
  <r>
    <n v="8"/>
    <n v="85"/>
    <n v="55"/>
    <n v="20"/>
    <n v="0"/>
    <n v="24.4"/>
    <n v="0.13600000000000001"/>
    <n v="42"/>
    <x v="1"/>
  </r>
  <r>
    <n v="5"/>
    <n v="158"/>
    <n v="84"/>
    <n v="41"/>
    <n v="210"/>
    <n v="39.4"/>
    <n v="0.39500000000000002"/>
    <n v="29"/>
    <x v="0"/>
  </r>
  <r>
    <n v="1"/>
    <n v="105"/>
    <n v="58"/>
    <n v="0"/>
    <n v="0"/>
    <n v="24.3"/>
    <n v="0.187"/>
    <n v="21"/>
    <x v="1"/>
  </r>
  <r>
    <n v="3"/>
    <n v="107"/>
    <n v="62"/>
    <n v="13"/>
    <n v="48"/>
    <n v="22.9"/>
    <n v="0.67800000000000005"/>
    <n v="23"/>
    <x v="0"/>
  </r>
  <r>
    <n v="4"/>
    <n v="109"/>
    <n v="64"/>
    <n v="44"/>
    <n v="99"/>
    <n v="34.799999999999997"/>
    <n v="0.90500000000000003"/>
    <n v="26"/>
    <x v="0"/>
  </r>
  <r>
    <n v="4"/>
    <n v="148"/>
    <n v="60"/>
    <n v="27"/>
    <n v="318"/>
    <n v="30.9"/>
    <n v="0.15"/>
    <n v="29"/>
    <x v="0"/>
  </r>
  <r>
    <n v="0"/>
    <n v="113"/>
    <n v="80"/>
    <n v="16"/>
    <n v="0"/>
    <n v="31"/>
    <n v="0.874"/>
    <n v="21"/>
    <x v="1"/>
  </r>
  <r>
    <n v="1"/>
    <n v="138"/>
    <n v="82"/>
    <n v="0"/>
    <n v="0"/>
    <n v="40.1"/>
    <n v="0.23599999999999999"/>
    <n v="28"/>
    <x v="1"/>
  </r>
  <r>
    <n v="0"/>
    <n v="108"/>
    <n v="68"/>
    <n v="20"/>
    <n v="0"/>
    <n v="27.3"/>
    <n v="0.78700000000000003"/>
    <n v="32"/>
    <x v="1"/>
  </r>
  <r>
    <n v="2"/>
    <n v="99"/>
    <n v="70"/>
    <n v="16"/>
    <n v="44"/>
    <n v="20.399999999999999"/>
    <n v="0.23499999999999999"/>
    <n v="27"/>
    <x v="1"/>
  </r>
  <r>
    <n v="6"/>
    <n v="103"/>
    <n v="72"/>
    <n v="32"/>
    <n v="190"/>
    <n v="37.700000000000003"/>
    <n v="0.32400000000000001"/>
    <n v="55"/>
    <x v="1"/>
  </r>
  <r>
    <n v="5"/>
    <n v="111"/>
    <n v="72"/>
    <n v="28"/>
    <n v="0"/>
    <n v="23.9"/>
    <n v="0.40699999999999997"/>
    <n v="27"/>
    <x v="1"/>
  </r>
  <r>
    <n v="8"/>
    <n v="196"/>
    <n v="76"/>
    <n v="29"/>
    <n v="280"/>
    <n v="37.5"/>
    <n v="0.60499999999999998"/>
    <n v="57"/>
    <x v="0"/>
  </r>
  <r>
    <n v="5"/>
    <n v="162"/>
    <n v="104"/>
    <n v="0"/>
    <n v="0"/>
    <n v="37.700000000000003"/>
    <n v="0.151"/>
    <n v="52"/>
    <x v="0"/>
  </r>
  <r>
    <n v="1"/>
    <n v="96"/>
    <n v="64"/>
    <n v="27"/>
    <n v="87"/>
    <n v="33.200000000000003"/>
    <n v="0.28899999999999998"/>
    <n v="21"/>
    <x v="1"/>
  </r>
  <r>
    <n v="7"/>
    <n v="184"/>
    <n v="84"/>
    <n v="33"/>
    <n v="0"/>
    <n v="35.5"/>
    <n v="0.35499999999999998"/>
    <n v="41"/>
    <x v="0"/>
  </r>
  <r>
    <n v="2"/>
    <n v="81"/>
    <n v="60"/>
    <n v="22"/>
    <n v="0"/>
    <n v="27.7"/>
    <n v="0.28999999999999998"/>
    <n v="25"/>
    <x v="1"/>
  </r>
  <r>
    <n v="0"/>
    <n v="147"/>
    <n v="85"/>
    <n v="54"/>
    <n v="0"/>
    <n v="42.8"/>
    <n v="0.375"/>
    <n v="24"/>
    <x v="1"/>
  </r>
  <r>
    <n v="7"/>
    <n v="179"/>
    <n v="95"/>
    <n v="31"/>
    <n v="0"/>
    <n v="34.200000000000003"/>
    <n v="0.16400000000000001"/>
    <n v="60"/>
    <x v="1"/>
  </r>
  <r>
    <n v="0"/>
    <n v="140"/>
    <n v="65"/>
    <n v="26"/>
    <n v="130"/>
    <n v="42.6"/>
    <n v="0.43099999999999999"/>
    <n v="24"/>
    <x v="0"/>
  </r>
  <r>
    <n v="9"/>
    <n v="112"/>
    <n v="82"/>
    <n v="32"/>
    <n v="175"/>
    <n v="34.200000000000003"/>
    <n v="0.26"/>
    <n v="36"/>
    <x v="0"/>
  </r>
  <r>
    <n v="12"/>
    <n v="151"/>
    <n v="70"/>
    <n v="40"/>
    <n v="271"/>
    <n v="41.8"/>
    <n v="0.74199999999999999"/>
    <n v="38"/>
    <x v="0"/>
  </r>
  <r>
    <n v="5"/>
    <n v="109"/>
    <n v="62"/>
    <n v="41"/>
    <n v="129"/>
    <n v="35.799999999999997"/>
    <n v="0.51400000000000001"/>
    <n v="25"/>
    <x v="0"/>
  </r>
  <r>
    <n v="6"/>
    <n v="125"/>
    <n v="68"/>
    <n v="30"/>
    <n v="120"/>
    <n v="30"/>
    <n v="0.46400000000000002"/>
    <n v="32"/>
    <x v="1"/>
  </r>
  <r>
    <n v="5"/>
    <n v="85"/>
    <n v="74"/>
    <n v="22"/>
    <n v="0"/>
    <n v="29"/>
    <n v="1.224"/>
    <n v="32"/>
    <x v="0"/>
  </r>
  <r>
    <n v="5"/>
    <n v="112"/>
    <n v="66"/>
    <n v="0"/>
    <n v="0"/>
    <n v="37.799999999999997"/>
    <n v="0.26100000000000001"/>
    <n v="41"/>
    <x v="0"/>
  </r>
  <r>
    <n v="0"/>
    <n v="177"/>
    <n v="60"/>
    <n v="29"/>
    <n v="478"/>
    <n v="34.6"/>
    <n v="1.0720000000000001"/>
    <n v="21"/>
    <x v="0"/>
  </r>
  <r>
    <n v="2"/>
    <n v="158"/>
    <n v="90"/>
    <n v="0"/>
    <n v="0"/>
    <n v="31.6"/>
    <n v="0.80500000000000005"/>
    <n v="66"/>
    <x v="0"/>
  </r>
  <r>
    <n v="7"/>
    <n v="119"/>
    <n v="0"/>
    <n v="0"/>
    <n v="0"/>
    <n v="25.2"/>
    <n v="0.20899999999999999"/>
    <n v="37"/>
    <x v="1"/>
  </r>
  <r>
    <n v="7"/>
    <n v="142"/>
    <n v="60"/>
    <n v="33"/>
    <n v="190"/>
    <n v="28.8"/>
    <n v="0.68700000000000006"/>
    <n v="61"/>
    <x v="1"/>
  </r>
  <r>
    <n v="1"/>
    <n v="100"/>
    <n v="66"/>
    <n v="15"/>
    <n v="56"/>
    <n v="23.6"/>
    <n v="0.66600000000000004"/>
    <n v="26"/>
    <x v="1"/>
  </r>
  <r>
    <n v="1"/>
    <n v="87"/>
    <n v="78"/>
    <n v="27"/>
    <n v="32"/>
    <n v="34.6"/>
    <n v="0.10100000000000001"/>
    <n v="22"/>
    <x v="1"/>
  </r>
  <r>
    <n v="0"/>
    <n v="101"/>
    <n v="76"/>
    <n v="0"/>
    <n v="0"/>
    <n v="35.700000000000003"/>
    <n v="0.19800000000000001"/>
    <n v="26"/>
    <x v="1"/>
  </r>
  <r>
    <n v="3"/>
    <n v="162"/>
    <n v="52"/>
    <n v="38"/>
    <n v="0"/>
    <n v="37.200000000000003"/>
    <n v="0.65200000000000002"/>
    <n v="24"/>
    <x v="0"/>
  </r>
  <r>
    <n v="4"/>
    <n v="197"/>
    <n v="70"/>
    <n v="39"/>
    <n v="744"/>
    <n v="36.700000000000003"/>
    <n v="2.3290000000000002"/>
    <n v="31"/>
    <x v="1"/>
  </r>
  <r>
    <n v="0"/>
    <n v="117"/>
    <n v="80"/>
    <n v="31"/>
    <n v="53"/>
    <n v="45.2"/>
    <n v="8.8999999999999996E-2"/>
    <n v="24"/>
    <x v="1"/>
  </r>
  <r>
    <n v="4"/>
    <n v="142"/>
    <n v="86"/>
    <n v="0"/>
    <n v="0"/>
    <n v="44"/>
    <n v="0.64500000000000002"/>
    <n v="22"/>
    <x v="0"/>
  </r>
  <r>
    <n v="6"/>
    <n v="134"/>
    <n v="80"/>
    <n v="37"/>
    <n v="370"/>
    <n v="46.2"/>
    <n v="0.23799999999999999"/>
    <n v="46"/>
    <x v="0"/>
  </r>
  <r>
    <n v="1"/>
    <n v="79"/>
    <n v="80"/>
    <n v="25"/>
    <n v="37"/>
    <n v="25.4"/>
    <n v="0.58299999999999996"/>
    <n v="22"/>
    <x v="1"/>
  </r>
  <r>
    <n v="4"/>
    <n v="122"/>
    <n v="68"/>
    <n v="0"/>
    <n v="0"/>
    <n v="35"/>
    <n v="0.39400000000000002"/>
    <n v="29"/>
    <x v="1"/>
  </r>
  <r>
    <n v="3"/>
    <n v="74"/>
    <n v="68"/>
    <n v="28"/>
    <n v="45"/>
    <n v="29.7"/>
    <n v="0.29299999999999998"/>
    <n v="23"/>
    <x v="1"/>
  </r>
  <r>
    <n v="4"/>
    <n v="171"/>
    <n v="72"/>
    <n v="0"/>
    <n v="0"/>
    <n v="43.6"/>
    <n v="0.47899999999999998"/>
    <n v="26"/>
    <x v="0"/>
  </r>
  <r>
    <n v="7"/>
    <n v="181"/>
    <n v="84"/>
    <n v="21"/>
    <n v="192"/>
    <n v="35.9"/>
    <n v="0.58599999999999997"/>
    <n v="51"/>
    <x v="0"/>
  </r>
  <r>
    <n v="0"/>
    <n v="179"/>
    <n v="90"/>
    <n v="27"/>
    <n v="0"/>
    <n v="44.1"/>
    <n v="0.68600000000000005"/>
    <n v="23"/>
    <x v="0"/>
  </r>
  <r>
    <n v="9"/>
    <n v="164"/>
    <n v="84"/>
    <n v="21"/>
    <n v="0"/>
    <n v="30.8"/>
    <n v="0.83099999999999996"/>
    <n v="32"/>
    <x v="0"/>
  </r>
  <r>
    <n v="0"/>
    <n v="104"/>
    <n v="76"/>
    <n v="0"/>
    <n v="0"/>
    <n v="18.399999999999999"/>
    <n v="0.58199999999999996"/>
    <n v="27"/>
    <x v="1"/>
  </r>
  <r>
    <n v="1"/>
    <n v="91"/>
    <n v="64"/>
    <n v="24"/>
    <n v="0"/>
    <n v="29.2"/>
    <n v="0.192"/>
    <n v="21"/>
    <x v="1"/>
  </r>
  <r>
    <n v="4"/>
    <n v="91"/>
    <n v="70"/>
    <n v="32"/>
    <n v="88"/>
    <n v="33.1"/>
    <n v="0.44600000000000001"/>
    <n v="22"/>
    <x v="1"/>
  </r>
  <r>
    <n v="3"/>
    <n v="139"/>
    <n v="54"/>
    <n v="0"/>
    <n v="0"/>
    <n v="25.6"/>
    <n v="0.40200000000000002"/>
    <n v="22"/>
    <x v="0"/>
  </r>
  <r>
    <n v="6"/>
    <n v="119"/>
    <n v="50"/>
    <n v="22"/>
    <n v="176"/>
    <n v="27.1"/>
    <n v="1.3180000000000001"/>
    <n v="33"/>
    <x v="0"/>
  </r>
  <r>
    <n v="2"/>
    <n v="146"/>
    <n v="76"/>
    <n v="35"/>
    <n v="194"/>
    <n v="38.200000000000003"/>
    <n v="0.32900000000000001"/>
    <n v="29"/>
    <x v="1"/>
  </r>
  <r>
    <n v="9"/>
    <n v="184"/>
    <n v="85"/>
    <n v="15"/>
    <n v="0"/>
    <n v="30"/>
    <n v="1.2130000000000001"/>
    <n v="49"/>
    <x v="0"/>
  </r>
  <r>
    <n v="10"/>
    <n v="122"/>
    <n v="68"/>
    <n v="0"/>
    <n v="0"/>
    <n v="31.2"/>
    <n v="0.25800000000000001"/>
    <n v="41"/>
    <x v="1"/>
  </r>
  <r>
    <n v="0"/>
    <n v="165"/>
    <n v="90"/>
    <n v="33"/>
    <n v="680"/>
    <n v="52.3"/>
    <n v="0.42699999999999999"/>
    <n v="23"/>
    <x v="1"/>
  </r>
  <r>
    <n v="9"/>
    <n v="124"/>
    <n v="70"/>
    <n v="33"/>
    <n v="402"/>
    <n v="35.4"/>
    <n v="0.28199999999999997"/>
    <n v="34"/>
    <x v="1"/>
  </r>
  <r>
    <n v="1"/>
    <n v="111"/>
    <n v="86"/>
    <n v="19"/>
    <n v="0"/>
    <n v="30.1"/>
    <n v="0.14299999999999999"/>
    <n v="23"/>
    <x v="1"/>
  </r>
  <r>
    <n v="9"/>
    <n v="106"/>
    <n v="52"/>
    <n v="0"/>
    <n v="0"/>
    <n v="31.2"/>
    <n v="0.38"/>
    <n v="42"/>
    <x v="1"/>
  </r>
  <r>
    <n v="2"/>
    <n v="129"/>
    <n v="84"/>
    <n v="0"/>
    <n v="0"/>
    <n v="28"/>
    <n v="0.28399999999999997"/>
    <n v="27"/>
    <x v="1"/>
  </r>
  <r>
    <n v="2"/>
    <n v="90"/>
    <n v="80"/>
    <n v="14"/>
    <n v="55"/>
    <n v="24.4"/>
    <n v="0.249"/>
    <n v="24"/>
    <x v="1"/>
  </r>
  <r>
    <n v="0"/>
    <n v="86"/>
    <n v="68"/>
    <n v="32"/>
    <n v="0"/>
    <n v="35.799999999999997"/>
    <n v="0.23799999999999999"/>
    <n v="25"/>
    <x v="1"/>
  </r>
  <r>
    <n v="12"/>
    <n v="92"/>
    <n v="62"/>
    <n v="7"/>
    <n v="258"/>
    <n v="27.6"/>
    <n v="0.92600000000000005"/>
    <n v="44"/>
    <x v="0"/>
  </r>
  <r>
    <n v="1"/>
    <n v="113"/>
    <n v="64"/>
    <n v="35"/>
    <n v="0"/>
    <n v="33.6"/>
    <n v="0.54300000000000004"/>
    <n v="21"/>
    <x v="0"/>
  </r>
  <r>
    <n v="3"/>
    <n v="111"/>
    <n v="56"/>
    <n v="39"/>
    <n v="0"/>
    <n v="30.1"/>
    <n v="0.55700000000000005"/>
    <n v="30"/>
    <x v="1"/>
  </r>
  <r>
    <n v="2"/>
    <n v="114"/>
    <n v="68"/>
    <n v="22"/>
    <n v="0"/>
    <n v="28.7"/>
    <n v="9.1999999999999998E-2"/>
    <n v="25"/>
    <x v="1"/>
  </r>
  <r>
    <n v="1"/>
    <n v="193"/>
    <n v="50"/>
    <n v="16"/>
    <n v="375"/>
    <n v="25.9"/>
    <n v="0.65500000000000003"/>
    <n v="24"/>
    <x v="1"/>
  </r>
  <r>
    <n v="11"/>
    <n v="155"/>
    <n v="76"/>
    <n v="28"/>
    <n v="150"/>
    <n v="33.299999999999997"/>
    <n v="1.353"/>
    <n v="51"/>
    <x v="0"/>
  </r>
  <r>
    <n v="3"/>
    <n v="191"/>
    <n v="68"/>
    <n v="15"/>
    <n v="130"/>
    <n v="30.9"/>
    <n v="0.29899999999999999"/>
    <n v="34"/>
    <x v="1"/>
  </r>
  <r>
    <n v="3"/>
    <n v="141"/>
    <n v="0"/>
    <n v="0"/>
    <n v="0"/>
    <n v="30"/>
    <n v="0.76100000000000001"/>
    <n v="27"/>
    <x v="0"/>
  </r>
  <r>
    <n v="4"/>
    <n v="95"/>
    <n v="70"/>
    <n v="32"/>
    <n v="0"/>
    <n v="32.1"/>
    <n v="0.61199999999999999"/>
    <n v="24"/>
    <x v="1"/>
  </r>
  <r>
    <n v="3"/>
    <n v="142"/>
    <n v="80"/>
    <n v="15"/>
    <n v="0"/>
    <n v="32.4"/>
    <n v="0.2"/>
    <n v="63"/>
    <x v="1"/>
  </r>
  <r>
    <n v="4"/>
    <n v="123"/>
    <n v="62"/>
    <n v="0"/>
    <n v="0"/>
    <n v="32"/>
    <n v="0.22600000000000001"/>
    <n v="35"/>
    <x v="0"/>
  </r>
  <r>
    <n v="5"/>
    <n v="96"/>
    <n v="74"/>
    <n v="18"/>
    <n v="67"/>
    <n v="33.6"/>
    <n v="0.997"/>
    <n v="43"/>
    <x v="1"/>
  </r>
  <r>
    <n v="0"/>
    <n v="138"/>
    <n v="0"/>
    <n v="0"/>
    <n v="0"/>
    <n v="36.299999999999997"/>
    <n v="0.93300000000000005"/>
    <n v="25"/>
    <x v="0"/>
  </r>
  <r>
    <n v="2"/>
    <n v="128"/>
    <n v="64"/>
    <n v="42"/>
    <n v="0"/>
    <n v="40"/>
    <n v="1.101"/>
    <n v="24"/>
    <x v="1"/>
  </r>
  <r>
    <n v="0"/>
    <n v="102"/>
    <n v="52"/>
    <n v="0"/>
    <n v="0"/>
    <n v="25.1"/>
    <n v="7.8E-2"/>
    <n v="21"/>
    <x v="1"/>
  </r>
  <r>
    <n v="2"/>
    <n v="146"/>
    <n v="0"/>
    <n v="0"/>
    <n v="0"/>
    <n v="27.5"/>
    <n v="0.24"/>
    <n v="28"/>
    <x v="0"/>
  </r>
  <r>
    <n v="10"/>
    <n v="101"/>
    <n v="86"/>
    <n v="37"/>
    <n v="0"/>
    <n v="45.6"/>
    <n v="1.1359999999999999"/>
    <n v="38"/>
    <x v="0"/>
  </r>
  <r>
    <n v="2"/>
    <n v="108"/>
    <n v="62"/>
    <n v="32"/>
    <n v="56"/>
    <n v="25.2"/>
    <n v="0.128"/>
    <n v="21"/>
    <x v="1"/>
  </r>
  <r>
    <n v="3"/>
    <n v="122"/>
    <n v="78"/>
    <n v="0"/>
    <n v="0"/>
    <n v="23"/>
    <n v="0.254"/>
    <n v="40"/>
    <x v="1"/>
  </r>
  <r>
    <n v="1"/>
    <n v="71"/>
    <n v="78"/>
    <n v="50"/>
    <n v="45"/>
    <n v="33.200000000000003"/>
    <n v="0.42199999999999999"/>
    <n v="21"/>
    <x v="1"/>
  </r>
  <r>
    <n v="13"/>
    <n v="106"/>
    <n v="70"/>
    <n v="0"/>
    <n v="0"/>
    <n v="34.200000000000003"/>
    <n v="0.251"/>
    <n v="52"/>
    <x v="1"/>
  </r>
  <r>
    <n v="2"/>
    <n v="100"/>
    <n v="70"/>
    <n v="52"/>
    <n v="57"/>
    <n v="40.5"/>
    <n v="0.67700000000000005"/>
    <n v="25"/>
    <x v="1"/>
  </r>
  <r>
    <n v="7"/>
    <n v="106"/>
    <n v="60"/>
    <n v="24"/>
    <n v="0"/>
    <n v="26.5"/>
    <n v="0.29599999999999999"/>
    <n v="29"/>
    <x v="0"/>
  </r>
  <r>
    <n v="0"/>
    <n v="104"/>
    <n v="64"/>
    <n v="23"/>
    <n v="116"/>
    <n v="27.8"/>
    <n v="0.45400000000000001"/>
    <n v="23"/>
    <x v="1"/>
  </r>
  <r>
    <n v="5"/>
    <n v="114"/>
    <n v="74"/>
    <n v="0"/>
    <n v="0"/>
    <n v="24.9"/>
    <n v="0.74399999999999999"/>
    <n v="57"/>
    <x v="1"/>
  </r>
  <r>
    <n v="2"/>
    <n v="108"/>
    <n v="62"/>
    <n v="10"/>
    <n v="278"/>
    <n v="25.3"/>
    <n v="0.88100000000000001"/>
    <n v="22"/>
    <x v="1"/>
  </r>
  <r>
    <n v="0"/>
    <n v="146"/>
    <n v="70"/>
    <n v="0"/>
    <n v="0"/>
    <n v="37.9"/>
    <n v="0.33400000000000002"/>
    <n v="28"/>
    <x v="0"/>
  </r>
  <r>
    <n v="10"/>
    <n v="129"/>
    <n v="76"/>
    <n v="28"/>
    <n v="122"/>
    <n v="35.9"/>
    <n v="0.28000000000000003"/>
    <n v="39"/>
    <x v="1"/>
  </r>
  <r>
    <n v="7"/>
    <n v="133"/>
    <n v="88"/>
    <n v="15"/>
    <n v="155"/>
    <n v="32.4"/>
    <n v="0.26200000000000001"/>
    <n v="37"/>
    <x v="1"/>
  </r>
  <r>
    <n v="7"/>
    <n v="161"/>
    <n v="86"/>
    <n v="0"/>
    <n v="0"/>
    <n v="30.4"/>
    <n v="0.16500000000000001"/>
    <n v="47"/>
    <x v="0"/>
  </r>
  <r>
    <n v="2"/>
    <n v="108"/>
    <n v="80"/>
    <n v="0"/>
    <n v="0"/>
    <n v="27"/>
    <n v="0.25900000000000001"/>
    <n v="52"/>
    <x v="0"/>
  </r>
  <r>
    <n v="7"/>
    <n v="136"/>
    <n v="74"/>
    <n v="26"/>
    <n v="135"/>
    <n v="26"/>
    <n v="0.64700000000000002"/>
    <n v="51"/>
    <x v="1"/>
  </r>
  <r>
    <n v="5"/>
    <n v="155"/>
    <n v="84"/>
    <n v="44"/>
    <n v="545"/>
    <n v="38.700000000000003"/>
    <n v="0.61899999999999999"/>
    <n v="34"/>
    <x v="1"/>
  </r>
  <r>
    <n v="1"/>
    <n v="119"/>
    <n v="86"/>
    <n v="39"/>
    <n v="220"/>
    <n v="45.6"/>
    <n v="0.80800000000000005"/>
    <n v="29"/>
    <x v="0"/>
  </r>
  <r>
    <n v="4"/>
    <n v="96"/>
    <n v="56"/>
    <n v="17"/>
    <n v="49"/>
    <n v="20.8"/>
    <n v="0.34"/>
    <n v="26"/>
    <x v="1"/>
  </r>
  <r>
    <n v="5"/>
    <n v="108"/>
    <n v="72"/>
    <n v="43"/>
    <n v="75"/>
    <n v="36.1"/>
    <n v="0.26300000000000001"/>
    <n v="33"/>
    <x v="1"/>
  </r>
  <r>
    <n v="0"/>
    <n v="78"/>
    <n v="88"/>
    <n v="29"/>
    <n v="40"/>
    <n v="36.9"/>
    <n v="0.434"/>
    <n v="21"/>
    <x v="1"/>
  </r>
  <r>
    <n v="0"/>
    <n v="107"/>
    <n v="62"/>
    <n v="30"/>
    <n v="74"/>
    <n v="36.6"/>
    <n v="0.75700000000000001"/>
    <n v="25"/>
    <x v="0"/>
  </r>
  <r>
    <n v="2"/>
    <n v="128"/>
    <n v="78"/>
    <n v="37"/>
    <n v="182"/>
    <n v="43.3"/>
    <n v="1.224"/>
    <n v="31"/>
    <x v="0"/>
  </r>
  <r>
    <n v="1"/>
    <n v="128"/>
    <n v="48"/>
    <n v="45"/>
    <n v="194"/>
    <n v="40.5"/>
    <n v="0.61299999999999999"/>
    <n v="24"/>
    <x v="0"/>
  </r>
  <r>
    <n v="0"/>
    <n v="161"/>
    <n v="50"/>
    <n v="0"/>
    <n v="0"/>
    <n v="21.9"/>
    <n v="0.254"/>
    <n v="65"/>
    <x v="1"/>
  </r>
  <r>
    <n v="6"/>
    <n v="151"/>
    <n v="62"/>
    <n v="31"/>
    <n v="120"/>
    <n v="35.5"/>
    <n v="0.69199999999999995"/>
    <n v="28"/>
    <x v="1"/>
  </r>
  <r>
    <n v="2"/>
    <n v="146"/>
    <n v="70"/>
    <n v="38"/>
    <n v="360"/>
    <n v="28"/>
    <n v="0.33700000000000002"/>
    <n v="29"/>
    <x v="0"/>
  </r>
  <r>
    <n v="0"/>
    <n v="126"/>
    <n v="84"/>
    <n v="29"/>
    <n v="215"/>
    <n v="30.7"/>
    <n v="0.52"/>
    <n v="24"/>
    <x v="1"/>
  </r>
  <r>
    <n v="14"/>
    <n v="100"/>
    <n v="78"/>
    <n v="25"/>
    <n v="184"/>
    <n v="36.6"/>
    <n v="0.41199999999999998"/>
    <n v="46"/>
    <x v="0"/>
  </r>
  <r>
    <n v="8"/>
    <n v="112"/>
    <n v="72"/>
    <n v="0"/>
    <n v="0"/>
    <n v="23.6"/>
    <n v="0.84"/>
    <n v="58"/>
    <x v="1"/>
  </r>
  <r>
    <n v="0"/>
    <n v="167"/>
    <n v="0"/>
    <n v="0"/>
    <n v="0"/>
    <n v="32.299999999999997"/>
    <n v="0.83899999999999997"/>
    <n v="30"/>
    <x v="0"/>
  </r>
  <r>
    <n v="2"/>
    <n v="144"/>
    <n v="58"/>
    <n v="33"/>
    <n v="135"/>
    <n v="31.6"/>
    <n v="0.42199999999999999"/>
    <n v="25"/>
    <x v="0"/>
  </r>
  <r>
    <n v="5"/>
    <n v="77"/>
    <n v="82"/>
    <n v="41"/>
    <n v="42"/>
    <n v="35.799999999999997"/>
    <n v="0.156"/>
    <n v="35"/>
    <x v="1"/>
  </r>
  <r>
    <n v="5"/>
    <n v="115"/>
    <n v="98"/>
    <n v="0"/>
    <n v="0"/>
    <n v="52.9"/>
    <n v="0.20899999999999999"/>
    <n v="28"/>
    <x v="0"/>
  </r>
  <r>
    <n v="3"/>
    <n v="150"/>
    <n v="76"/>
    <n v="0"/>
    <n v="0"/>
    <n v="21"/>
    <n v="0.20699999999999999"/>
    <n v="37"/>
    <x v="1"/>
  </r>
  <r>
    <n v="2"/>
    <n v="120"/>
    <n v="76"/>
    <n v="37"/>
    <n v="105"/>
    <n v="39.700000000000003"/>
    <n v="0.215"/>
    <n v="29"/>
    <x v="1"/>
  </r>
  <r>
    <n v="10"/>
    <n v="161"/>
    <n v="68"/>
    <n v="23"/>
    <n v="132"/>
    <n v="25.5"/>
    <n v="0.32600000000000001"/>
    <n v="47"/>
    <x v="0"/>
  </r>
  <r>
    <n v="0"/>
    <n v="137"/>
    <n v="68"/>
    <n v="14"/>
    <n v="148"/>
    <n v="24.8"/>
    <n v="0.14299999999999999"/>
    <n v="21"/>
    <x v="1"/>
  </r>
  <r>
    <n v="0"/>
    <n v="128"/>
    <n v="68"/>
    <n v="19"/>
    <n v="180"/>
    <n v="30.5"/>
    <n v="1.391"/>
    <n v="25"/>
    <x v="0"/>
  </r>
  <r>
    <n v="2"/>
    <n v="124"/>
    <n v="68"/>
    <n v="28"/>
    <n v="205"/>
    <n v="32.9"/>
    <n v="0.875"/>
    <n v="30"/>
    <x v="0"/>
  </r>
  <r>
    <n v="6"/>
    <n v="80"/>
    <n v="66"/>
    <n v="30"/>
    <n v="0"/>
    <n v="26.2"/>
    <n v="0.313"/>
    <n v="41"/>
    <x v="1"/>
  </r>
  <r>
    <n v="0"/>
    <n v="106"/>
    <n v="70"/>
    <n v="37"/>
    <n v="148"/>
    <n v="39.4"/>
    <n v="0.60499999999999998"/>
    <n v="22"/>
    <x v="1"/>
  </r>
  <r>
    <n v="2"/>
    <n v="155"/>
    <n v="74"/>
    <n v="17"/>
    <n v="96"/>
    <n v="26.6"/>
    <n v="0.433"/>
    <n v="27"/>
    <x v="0"/>
  </r>
  <r>
    <n v="3"/>
    <n v="113"/>
    <n v="50"/>
    <n v="10"/>
    <n v="85"/>
    <n v="29.5"/>
    <n v="0.626"/>
    <n v="25"/>
    <x v="1"/>
  </r>
  <r>
    <n v="7"/>
    <n v="109"/>
    <n v="80"/>
    <n v="31"/>
    <n v="0"/>
    <n v="35.9"/>
    <n v="1.127"/>
    <n v="43"/>
    <x v="0"/>
  </r>
  <r>
    <n v="2"/>
    <n v="112"/>
    <n v="68"/>
    <n v="22"/>
    <n v="94"/>
    <n v="34.1"/>
    <n v="0.315"/>
    <n v="26"/>
    <x v="1"/>
  </r>
  <r>
    <n v="3"/>
    <n v="99"/>
    <n v="80"/>
    <n v="11"/>
    <n v="64"/>
    <n v="19.3"/>
    <n v="0.28399999999999997"/>
    <n v="30"/>
    <x v="1"/>
  </r>
  <r>
    <n v="3"/>
    <n v="182"/>
    <n v="74"/>
    <n v="0"/>
    <n v="0"/>
    <n v="30.5"/>
    <n v="0.34499999999999997"/>
    <n v="29"/>
    <x v="0"/>
  </r>
  <r>
    <n v="3"/>
    <n v="115"/>
    <n v="66"/>
    <n v="39"/>
    <n v="140"/>
    <n v="38.1"/>
    <n v="0.15"/>
    <n v="28"/>
    <x v="1"/>
  </r>
  <r>
    <n v="6"/>
    <n v="194"/>
    <n v="78"/>
    <n v="0"/>
    <n v="0"/>
    <n v="23.5"/>
    <n v="0.129"/>
    <n v="59"/>
    <x v="0"/>
  </r>
  <r>
    <n v="4"/>
    <n v="129"/>
    <n v="60"/>
    <n v="12"/>
    <n v="231"/>
    <n v="27.5"/>
    <n v="0.52700000000000002"/>
    <n v="31"/>
    <x v="1"/>
  </r>
  <r>
    <n v="3"/>
    <n v="112"/>
    <n v="74"/>
    <n v="30"/>
    <n v="0"/>
    <n v="31.6"/>
    <n v="0.19700000000000001"/>
    <n v="25"/>
    <x v="0"/>
  </r>
  <r>
    <n v="0"/>
    <n v="124"/>
    <n v="70"/>
    <n v="20"/>
    <n v="0"/>
    <n v="27.4"/>
    <n v="0.254"/>
    <n v="36"/>
    <x v="0"/>
  </r>
  <r>
    <n v="13"/>
    <n v="152"/>
    <n v="90"/>
    <n v="33"/>
    <n v="29"/>
    <n v="26.8"/>
    <n v="0.73099999999999998"/>
    <n v="43"/>
    <x v="0"/>
  </r>
  <r>
    <n v="2"/>
    <n v="112"/>
    <n v="75"/>
    <n v="32"/>
    <n v="0"/>
    <n v="35.700000000000003"/>
    <n v="0.14799999999999999"/>
    <n v="21"/>
    <x v="1"/>
  </r>
  <r>
    <n v="1"/>
    <n v="157"/>
    <n v="72"/>
    <n v="21"/>
    <n v="168"/>
    <n v="25.6"/>
    <n v="0.123"/>
    <n v="24"/>
    <x v="1"/>
  </r>
  <r>
    <n v="1"/>
    <n v="122"/>
    <n v="64"/>
    <n v="32"/>
    <n v="156"/>
    <n v="35.1"/>
    <n v="0.69199999999999995"/>
    <n v="30"/>
    <x v="0"/>
  </r>
  <r>
    <n v="10"/>
    <n v="179"/>
    <n v="70"/>
    <n v="0"/>
    <n v="0"/>
    <n v="35.1"/>
    <n v="0.2"/>
    <n v="37"/>
    <x v="1"/>
  </r>
  <r>
    <n v="2"/>
    <n v="102"/>
    <n v="86"/>
    <n v="36"/>
    <n v="120"/>
    <n v="45.5"/>
    <n v="0.127"/>
    <n v="23"/>
    <x v="0"/>
  </r>
  <r>
    <n v="6"/>
    <n v="105"/>
    <n v="70"/>
    <n v="32"/>
    <n v="68"/>
    <n v="30.8"/>
    <n v="0.122"/>
    <n v="37"/>
    <x v="1"/>
  </r>
  <r>
    <n v="8"/>
    <n v="118"/>
    <n v="72"/>
    <n v="19"/>
    <n v="0"/>
    <n v="23.1"/>
    <n v="1.476"/>
    <n v="46"/>
    <x v="1"/>
  </r>
  <r>
    <n v="2"/>
    <n v="87"/>
    <n v="58"/>
    <n v="16"/>
    <n v="52"/>
    <n v="32.700000000000003"/>
    <n v="0.16600000000000001"/>
    <n v="25"/>
    <x v="1"/>
  </r>
  <r>
    <n v="1"/>
    <n v="180"/>
    <n v="0"/>
    <n v="0"/>
    <n v="0"/>
    <n v="43.3"/>
    <n v="0.28199999999999997"/>
    <n v="41"/>
    <x v="0"/>
  </r>
  <r>
    <n v="12"/>
    <n v="106"/>
    <n v="80"/>
    <n v="0"/>
    <n v="0"/>
    <n v="23.6"/>
    <n v="0.13700000000000001"/>
    <n v="44"/>
    <x v="1"/>
  </r>
  <r>
    <n v="1"/>
    <n v="95"/>
    <n v="60"/>
    <n v="18"/>
    <n v="58"/>
    <n v="23.9"/>
    <n v="0.26"/>
    <n v="22"/>
    <x v="1"/>
  </r>
  <r>
    <n v="0"/>
    <n v="165"/>
    <n v="76"/>
    <n v="43"/>
    <n v="255"/>
    <n v="47.9"/>
    <n v="0.25900000000000001"/>
    <n v="26"/>
    <x v="1"/>
  </r>
  <r>
    <n v="0"/>
    <n v="117"/>
    <n v="0"/>
    <n v="0"/>
    <n v="0"/>
    <n v="33.799999999999997"/>
    <n v="0.93200000000000005"/>
    <n v="44"/>
    <x v="1"/>
  </r>
  <r>
    <n v="5"/>
    <n v="115"/>
    <n v="76"/>
    <n v="0"/>
    <n v="0"/>
    <n v="31.2"/>
    <n v="0.34300000000000003"/>
    <n v="44"/>
    <x v="0"/>
  </r>
  <r>
    <n v="9"/>
    <n v="152"/>
    <n v="78"/>
    <n v="34"/>
    <n v="171"/>
    <n v="34.200000000000003"/>
    <n v="0.89300000000000002"/>
    <n v="33"/>
    <x v="0"/>
  </r>
  <r>
    <n v="7"/>
    <n v="178"/>
    <n v="84"/>
    <n v="0"/>
    <n v="0"/>
    <n v="39.9"/>
    <n v="0.33100000000000002"/>
    <n v="41"/>
    <x v="0"/>
  </r>
  <r>
    <n v="1"/>
    <n v="130"/>
    <n v="70"/>
    <n v="13"/>
    <n v="105"/>
    <n v="25.9"/>
    <n v="0.47199999999999998"/>
    <n v="22"/>
    <x v="1"/>
  </r>
  <r>
    <n v="1"/>
    <n v="95"/>
    <n v="74"/>
    <n v="21"/>
    <n v="73"/>
    <n v="25.9"/>
    <n v="0.67300000000000004"/>
    <n v="36"/>
    <x v="1"/>
  </r>
  <r>
    <n v="1"/>
    <n v="0"/>
    <n v="68"/>
    <n v="35"/>
    <n v="0"/>
    <n v="32"/>
    <n v="0.38900000000000001"/>
    <n v="22"/>
    <x v="1"/>
  </r>
  <r>
    <n v="5"/>
    <n v="122"/>
    <n v="86"/>
    <n v="0"/>
    <n v="0"/>
    <n v="34.700000000000003"/>
    <n v="0.28999999999999998"/>
    <n v="33"/>
    <x v="1"/>
  </r>
  <r>
    <n v="8"/>
    <n v="95"/>
    <n v="72"/>
    <n v="0"/>
    <n v="0"/>
    <n v="36.799999999999997"/>
    <n v="0.48499999999999999"/>
    <n v="57"/>
    <x v="1"/>
  </r>
  <r>
    <n v="8"/>
    <n v="126"/>
    <n v="88"/>
    <n v="36"/>
    <n v="108"/>
    <n v="38.5"/>
    <n v="0.34899999999999998"/>
    <n v="49"/>
    <x v="1"/>
  </r>
  <r>
    <n v="1"/>
    <n v="139"/>
    <n v="46"/>
    <n v="19"/>
    <n v="83"/>
    <n v="28.7"/>
    <n v="0.65400000000000003"/>
    <n v="22"/>
    <x v="1"/>
  </r>
  <r>
    <n v="3"/>
    <n v="116"/>
    <n v="0"/>
    <n v="0"/>
    <n v="0"/>
    <n v="23.5"/>
    <n v="0.187"/>
    <n v="23"/>
    <x v="1"/>
  </r>
  <r>
    <n v="3"/>
    <n v="99"/>
    <n v="62"/>
    <n v="19"/>
    <n v="74"/>
    <n v="21.8"/>
    <n v="0.27900000000000003"/>
    <n v="26"/>
    <x v="1"/>
  </r>
  <r>
    <n v="5"/>
    <n v="0"/>
    <n v="80"/>
    <n v="32"/>
    <n v="0"/>
    <n v="41"/>
    <n v="0.34599999999999997"/>
    <n v="37"/>
    <x v="0"/>
  </r>
  <r>
    <n v="4"/>
    <n v="92"/>
    <n v="80"/>
    <n v="0"/>
    <n v="0"/>
    <n v="42.2"/>
    <n v="0.23699999999999999"/>
    <n v="29"/>
    <x v="1"/>
  </r>
  <r>
    <n v="4"/>
    <n v="137"/>
    <n v="84"/>
    <n v="0"/>
    <n v="0"/>
    <n v="31.2"/>
    <n v="0.252"/>
    <n v="30"/>
    <x v="1"/>
  </r>
  <r>
    <n v="3"/>
    <n v="61"/>
    <n v="82"/>
    <n v="28"/>
    <n v="0"/>
    <n v="34.4"/>
    <n v="0.24299999999999999"/>
    <n v="46"/>
    <x v="1"/>
  </r>
  <r>
    <n v="1"/>
    <n v="90"/>
    <n v="62"/>
    <n v="12"/>
    <n v="43"/>
    <n v="27.2"/>
    <n v="0.57999999999999996"/>
    <n v="24"/>
    <x v="1"/>
  </r>
  <r>
    <n v="3"/>
    <n v="90"/>
    <n v="78"/>
    <n v="0"/>
    <n v="0"/>
    <n v="42.7"/>
    <n v="0.55900000000000005"/>
    <n v="21"/>
    <x v="1"/>
  </r>
  <r>
    <n v="9"/>
    <n v="165"/>
    <n v="88"/>
    <n v="0"/>
    <n v="0"/>
    <n v="30.4"/>
    <n v="0.30199999999999999"/>
    <n v="49"/>
    <x v="0"/>
  </r>
  <r>
    <n v="1"/>
    <n v="125"/>
    <n v="50"/>
    <n v="40"/>
    <n v="167"/>
    <n v="33.299999999999997"/>
    <n v="0.96199999999999997"/>
    <n v="28"/>
    <x v="0"/>
  </r>
  <r>
    <n v="13"/>
    <n v="129"/>
    <n v="0"/>
    <n v="30"/>
    <n v="0"/>
    <n v="39.9"/>
    <n v="0.56899999999999995"/>
    <n v="44"/>
    <x v="0"/>
  </r>
  <r>
    <n v="12"/>
    <n v="88"/>
    <n v="74"/>
    <n v="40"/>
    <n v="54"/>
    <n v="35.299999999999997"/>
    <n v="0.378"/>
    <n v="48"/>
    <x v="1"/>
  </r>
  <r>
    <n v="1"/>
    <n v="196"/>
    <n v="76"/>
    <n v="36"/>
    <n v="249"/>
    <n v="36.5"/>
    <n v="0.875"/>
    <n v="29"/>
    <x v="0"/>
  </r>
  <r>
    <n v="5"/>
    <n v="189"/>
    <n v="64"/>
    <n v="33"/>
    <n v="325"/>
    <n v="31.2"/>
    <n v="0.58299999999999996"/>
    <n v="29"/>
    <x v="0"/>
  </r>
  <r>
    <n v="5"/>
    <n v="158"/>
    <n v="70"/>
    <n v="0"/>
    <n v="0"/>
    <n v="29.8"/>
    <n v="0.20699999999999999"/>
    <n v="63"/>
    <x v="1"/>
  </r>
  <r>
    <n v="5"/>
    <n v="103"/>
    <n v="108"/>
    <n v="37"/>
    <n v="0"/>
    <n v="39.200000000000003"/>
    <n v="0.30499999999999999"/>
    <n v="65"/>
    <x v="1"/>
  </r>
  <r>
    <n v="4"/>
    <n v="146"/>
    <n v="78"/>
    <n v="0"/>
    <n v="0"/>
    <n v="38.5"/>
    <n v="0.52"/>
    <n v="67"/>
    <x v="0"/>
  </r>
  <r>
    <n v="4"/>
    <n v="147"/>
    <n v="74"/>
    <n v="25"/>
    <n v="293"/>
    <n v="34.9"/>
    <n v="0.38500000000000001"/>
    <n v="30"/>
    <x v="1"/>
  </r>
  <r>
    <n v="5"/>
    <n v="99"/>
    <n v="54"/>
    <n v="28"/>
    <n v="83"/>
    <n v="34"/>
    <n v="0.499"/>
    <n v="30"/>
    <x v="1"/>
  </r>
  <r>
    <n v="6"/>
    <n v="124"/>
    <n v="72"/>
    <n v="0"/>
    <n v="0"/>
    <n v="27.6"/>
    <n v="0.36799999999999999"/>
    <n v="29"/>
    <x v="0"/>
  </r>
  <r>
    <n v="0"/>
    <n v="101"/>
    <n v="64"/>
    <n v="17"/>
    <n v="0"/>
    <n v="21"/>
    <n v="0.252"/>
    <n v="21"/>
    <x v="1"/>
  </r>
  <r>
    <n v="3"/>
    <n v="81"/>
    <n v="86"/>
    <n v="16"/>
    <n v="66"/>
    <n v="27.5"/>
    <n v="0.30599999999999999"/>
    <n v="22"/>
    <x v="1"/>
  </r>
  <r>
    <n v="1"/>
    <n v="133"/>
    <n v="102"/>
    <n v="28"/>
    <n v="140"/>
    <n v="32.799999999999997"/>
    <n v="0.23400000000000001"/>
    <n v="45"/>
    <x v="0"/>
  </r>
  <r>
    <n v="3"/>
    <n v="173"/>
    <n v="82"/>
    <n v="48"/>
    <n v="465"/>
    <n v="38.4"/>
    <n v="2.137"/>
    <n v="25"/>
    <x v="0"/>
  </r>
  <r>
    <n v="0"/>
    <n v="118"/>
    <n v="64"/>
    <n v="23"/>
    <n v="89"/>
    <n v="0"/>
    <n v="1.7310000000000001"/>
    <n v="21"/>
    <x v="1"/>
  </r>
  <r>
    <n v="0"/>
    <n v="84"/>
    <n v="64"/>
    <n v="22"/>
    <n v="66"/>
    <n v="35.799999999999997"/>
    <n v="0.54500000000000004"/>
    <n v="21"/>
    <x v="1"/>
  </r>
  <r>
    <n v="2"/>
    <n v="105"/>
    <n v="58"/>
    <n v="40"/>
    <n v="94"/>
    <n v="34.9"/>
    <n v="0.22500000000000001"/>
    <n v="25"/>
    <x v="1"/>
  </r>
  <r>
    <n v="2"/>
    <n v="122"/>
    <n v="52"/>
    <n v="43"/>
    <n v="158"/>
    <n v="36.200000000000003"/>
    <n v="0.81599999999999995"/>
    <n v="28"/>
    <x v="1"/>
  </r>
  <r>
    <n v="12"/>
    <n v="140"/>
    <n v="82"/>
    <n v="43"/>
    <n v="325"/>
    <n v="39.200000000000003"/>
    <n v="0.52800000000000002"/>
    <n v="58"/>
    <x v="0"/>
  </r>
  <r>
    <n v="0"/>
    <n v="98"/>
    <n v="82"/>
    <n v="15"/>
    <n v="84"/>
    <n v="25.2"/>
    <n v="0.29899999999999999"/>
    <n v="22"/>
    <x v="1"/>
  </r>
  <r>
    <n v="1"/>
    <n v="87"/>
    <n v="60"/>
    <n v="37"/>
    <n v="75"/>
    <n v="37.200000000000003"/>
    <n v="0.50900000000000001"/>
    <n v="22"/>
    <x v="1"/>
  </r>
  <r>
    <n v="4"/>
    <n v="156"/>
    <n v="75"/>
    <n v="0"/>
    <n v="0"/>
    <n v="48.3"/>
    <n v="0.23799999999999999"/>
    <n v="32"/>
    <x v="0"/>
  </r>
  <r>
    <n v="0"/>
    <n v="93"/>
    <n v="100"/>
    <n v="39"/>
    <n v="72"/>
    <n v="43.4"/>
    <n v="1.0209999999999999"/>
    <n v="35"/>
    <x v="1"/>
  </r>
  <r>
    <n v="1"/>
    <n v="107"/>
    <n v="72"/>
    <n v="30"/>
    <n v="82"/>
    <n v="30.8"/>
    <n v="0.82099999999999995"/>
    <n v="24"/>
    <x v="1"/>
  </r>
  <r>
    <n v="0"/>
    <n v="105"/>
    <n v="68"/>
    <n v="22"/>
    <n v="0"/>
    <n v="20"/>
    <n v="0.23599999999999999"/>
    <n v="22"/>
    <x v="1"/>
  </r>
  <r>
    <n v="1"/>
    <n v="109"/>
    <n v="60"/>
    <n v="8"/>
    <n v="182"/>
    <n v="25.4"/>
    <n v="0.94699999999999995"/>
    <n v="21"/>
    <x v="1"/>
  </r>
  <r>
    <n v="1"/>
    <n v="90"/>
    <n v="62"/>
    <n v="18"/>
    <n v="59"/>
    <n v="25.1"/>
    <n v="1.268"/>
    <n v="25"/>
    <x v="1"/>
  </r>
  <r>
    <n v="1"/>
    <n v="125"/>
    <n v="70"/>
    <n v="24"/>
    <n v="110"/>
    <n v="24.3"/>
    <n v="0.221"/>
    <n v="25"/>
    <x v="1"/>
  </r>
  <r>
    <n v="1"/>
    <n v="119"/>
    <n v="54"/>
    <n v="13"/>
    <n v="50"/>
    <n v="22.3"/>
    <n v="0.20499999999999999"/>
    <n v="24"/>
    <x v="1"/>
  </r>
  <r>
    <n v="5"/>
    <n v="116"/>
    <n v="74"/>
    <n v="29"/>
    <n v="0"/>
    <n v="32.299999999999997"/>
    <n v="0.66"/>
    <n v="35"/>
    <x v="0"/>
  </r>
  <r>
    <n v="8"/>
    <n v="105"/>
    <n v="100"/>
    <n v="36"/>
    <n v="0"/>
    <n v="43.3"/>
    <n v="0.23899999999999999"/>
    <n v="45"/>
    <x v="0"/>
  </r>
  <r>
    <n v="5"/>
    <n v="144"/>
    <n v="82"/>
    <n v="26"/>
    <n v="285"/>
    <n v="32"/>
    <n v="0.45200000000000001"/>
    <n v="58"/>
    <x v="0"/>
  </r>
  <r>
    <n v="3"/>
    <n v="100"/>
    <n v="68"/>
    <n v="23"/>
    <n v="81"/>
    <n v="31.6"/>
    <n v="0.94899999999999995"/>
    <n v="28"/>
    <x v="1"/>
  </r>
  <r>
    <n v="1"/>
    <n v="100"/>
    <n v="66"/>
    <n v="29"/>
    <n v="196"/>
    <n v="32"/>
    <n v="0.44400000000000001"/>
    <n v="42"/>
    <x v="1"/>
  </r>
  <r>
    <n v="5"/>
    <n v="166"/>
    <n v="76"/>
    <n v="0"/>
    <n v="0"/>
    <n v="45.7"/>
    <n v="0.34"/>
    <n v="27"/>
    <x v="0"/>
  </r>
  <r>
    <n v="1"/>
    <n v="131"/>
    <n v="64"/>
    <n v="14"/>
    <n v="415"/>
    <n v="23.7"/>
    <n v="0.38900000000000001"/>
    <n v="21"/>
    <x v="1"/>
  </r>
  <r>
    <n v="4"/>
    <n v="116"/>
    <n v="72"/>
    <n v="12"/>
    <n v="87"/>
    <n v="22.1"/>
    <n v="0.46300000000000002"/>
    <n v="37"/>
    <x v="1"/>
  </r>
  <r>
    <n v="4"/>
    <n v="158"/>
    <n v="78"/>
    <n v="0"/>
    <n v="0"/>
    <n v="32.9"/>
    <n v="0.80300000000000005"/>
    <n v="31"/>
    <x v="0"/>
  </r>
  <r>
    <n v="2"/>
    <n v="127"/>
    <n v="58"/>
    <n v="24"/>
    <n v="275"/>
    <n v="27.7"/>
    <n v="1.6"/>
    <n v="25"/>
    <x v="1"/>
  </r>
  <r>
    <n v="3"/>
    <n v="96"/>
    <n v="56"/>
    <n v="34"/>
    <n v="115"/>
    <n v="24.7"/>
    <n v="0.94399999999999995"/>
    <n v="39"/>
    <x v="1"/>
  </r>
  <r>
    <n v="0"/>
    <n v="131"/>
    <n v="66"/>
    <n v="40"/>
    <n v="0"/>
    <n v="34.299999999999997"/>
    <n v="0.19600000000000001"/>
    <n v="22"/>
    <x v="0"/>
  </r>
  <r>
    <n v="3"/>
    <n v="82"/>
    <n v="70"/>
    <n v="0"/>
    <n v="0"/>
    <n v="21.1"/>
    <n v="0.38900000000000001"/>
    <n v="25"/>
    <x v="1"/>
  </r>
  <r>
    <n v="3"/>
    <n v="193"/>
    <n v="70"/>
    <n v="31"/>
    <n v="0"/>
    <n v="34.9"/>
    <n v="0.24099999999999999"/>
    <n v="25"/>
    <x v="0"/>
  </r>
  <r>
    <n v="4"/>
    <n v="95"/>
    <n v="64"/>
    <n v="0"/>
    <n v="0"/>
    <n v="32"/>
    <n v="0.161"/>
    <n v="31"/>
    <x v="0"/>
  </r>
  <r>
    <n v="6"/>
    <n v="137"/>
    <n v="61"/>
    <n v="0"/>
    <n v="0"/>
    <n v="24.2"/>
    <n v="0.151"/>
    <n v="55"/>
    <x v="1"/>
  </r>
  <r>
    <n v="5"/>
    <n v="136"/>
    <n v="84"/>
    <n v="41"/>
    <n v="88"/>
    <n v="35"/>
    <n v="0.28599999999999998"/>
    <n v="35"/>
    <x v="0"/>
  </r>
  <r>
    <n v="9"/>
    <n v="72"/>
    <n v="78"/>
    <n v="25"/>
    <n v="0"/>
    <n v="31.6"/>
    <n v="0.28000000000000003"/>
    <n v="38"/>
    <x v="1"/>
  </r>
  <r>
    <n v="5"/>
    <n v="168"/>
    <n v="64"/>
    <n v="0"/>
    <n v="0"/>
    <n v="32.9"/>
    <n v="0.13500000000000001"/>
    <n v="41"/>
    <x v="0"/>
  </r>
  <r>
    <n v="2"/>
    <n v="123"/>
    <n v="48"/>
    <n v="32"/>
    <n v="165"/>
    <n v="42.1"/>
    <n v="0.52"/>
    <n v="26"/>
    <x v="1"/>
  </r>
  <r>
    <n v="4"/>
    <n v="115"/>
    <n v="72"/>
    <n v="0"/>
    <n v="0"/>
    <n v="28.9"/>
    <n v="0.376"/>
    <n v="46"/>
    <x v="0"/>
  </r>
  <r>
    <n v="0"/>
    <n v="101"/>
    <n v="62"/>
    <n v="0"/>
    <n v="0"/>
    <n v="21.9"/>
    <n v="0.33600000000000002"/>
    <n v="25"/>
    <x v="1"/>
  </r>
  <r>
    <n v="8"/>
    <n v="197"/>
    <n v="74"/>
    <n v="0"/>
    <n v="0"/>
    <n v="25.9"/>
    <n v="1.1910000000000001"/>
    <n v="39"/>
    <x v="0"/>
  </r>
  <r>
    <n v="1"/>
    <n v="172"/>
    <n v="68"/>
    <n v="49"/>
    <n v="579"/>
    <n v="42.4"/>
    <n v="0.70199999999999996"/>
    <n v="28"/>
    <x v="0"/>
  </r>
  <r>
    <n v="6"/>
    <n v="102"/>
    <n v="90"/>
    <n v="39"/>
    <n v="0"/>
    <n v="35.700000000000003"/>
    <n v="0.67400000000000004"/>
    <n v="28"/>
    <x v="1"/>
  </r>
  <r>
    <n v="1"/>
    <n v="112"/>
    <n v="72"/>
    <n v="30"/>
    <n v="176"/>
    <n v="34.4"/>
    <n v="0.52800000000000002"/>
    <n v="25"/>
    <x v="1"/>
  </r>
  <r>
    <n v="1"/>
    <n v="143"/>
    <n v="84"/>
    <n v="23"/>
    <n v="310"/>
    <n v="42.4"/>
    <n v="1.0760000000000001"/>
    <n v="22"/>
    <x v="1"/>
  </r>
  <r>
    <n v="1"/>
    <n v="143"/>
    <n v="74"/>
    <n v="22"/>
    <n v="61"/>
    <n v="26.2"/>
    <n v="0.25600000000000001"/>
    <n v="21"/>
    <x v="1"/>
  </r>
  <r>
    <n v="0"/>
    <n v="138"/>
    <n v="60"/>
    <n v="35"/>
    <n v="167"/>
    <n v="34.6"/>
    <n v="0.53400000000000003"/>
    <n v="21"/>
    <x v="0"/>
  </r>
  <r>
    <n v="3"/>
    <n v="173"/>
    <n v="84"/>
    <n v="33"/>
    <n v="474"/>
    <n v="35.700000000000003"/>
    <n v="0.25800000000000001"/>
    <n v="22"/>
    <x v="0"/>
  </r>
  <r>
    <n v="1"/>
    <n v="97"/>
    <n v="68"/>
    <n v="21"/>
    <n v="0"/>
    <n v="27.2"/>
    <n v="1.095"/>
    <n v="22"/>
    <x v="1"/>
  </r>
  <r>
    <n v="4"/>
    <n v="144"/>
    <n v="82"/>
    <n v="32"/>
    <n v="0"/>
    <n v="38.5"/>
    <n v="0.55400000000000005"/>
    <n v="37"/>
    <x v="0"/>
  </r>
  <r>
    <n v="1"/>
    <n v="83"/>
    <n v="68"/>
    <n v="0"/>
    <n v="0"/>
    <n v="18.2"/>
    <n v="0.624"/>
    <n v="27"/>
    <x v="1"/>
  </r>
  <r>
    <n v="3"/>
    <n v="129"/>
    <n v="64"/>
    <n v="29"/>
    <n v="115"/>
    <n v="26.4"/>
    <n v="0.219"/>
    <n v="28"/>
    <x v="0"/>
  </r>
  <r>
    <n v="1"/>
    <n v="119"/>
    <n v="88"/>
    <n v="41"/>
    <n v="170"/>
    <n v="45.3"/>
    <n v="0.50700000000000001"/>
    <n v="26"/>
    <x v="1"/>
  </r>
  <r>
    <n v="2"/>
    <n v="94"/>
    <n v="68"/>
    <n v="18"/>
    <n v="76"/>
    <n v="26"/>
    <n v="0.56100000000000005"/>
    <n v="21"/>
    <x v="1"/>
  </r>
  <r>
    <n v="0"/>
    <n v="102"/>
    <n v="64"/>
    <n v="46"/>
    <n v="78"/>
    <n v="40.6"/>
    <n v="0.496"/>
    <n v="21"/>
    <x v="1"/>
  </r>
  <r>
    <n v="2"/>
    <n v="115"/>
    <n v="64"/>
    <n v="22"/>
    <n v="0"/>
    <n v="30.8"/>
    <n v="0.42099999999999999"/>
    <n v="21"/>
    <x v="1"/>
  </r>
  <r>
    <n v="8"/>
    <n v="151"/>
    <n v="78"/>
    <n v="32"/>
    <n v="210"/>
    <n v="42.9"/>
    <n v="0.51600000000000001"/>
    <n v="36"/>
    <x v="0"/>
  </r>
  <r>
    <n v="4"/>
    <n v="184"/>
    <n v="78"/>
    <n v="39"/>
    <n v="277"/>
    <n v="37"/>
    <n v="0.26400000000000001"/>
    <n v="31"/>
    <x v="0"/>
  </r>
  <r>
    <n v="0"/>
    <n v="94"/>
    <n v="0"/>
    <n v="0"/>
    <n v="0"/>
    <n v="0"/>
    <n v="0.25600000000000001"/>
    <n v="25"/>
    <x v="1"/>
  </r>
  <r>
    <n v="1"/>
    <n v="181"/>
    <n v="64"/>
    <n v="30"/>
    <n v="180"/>
    <n v="34.1"/>
    <n v="0.32800000000000001"/>
    <n v="38"/>
    <x v="0"/>
  </r>
  <r>
    <n v="0"/>
    <n v="135"/>
    <n v="94"/>
    <n v="46"/>
    <n v="145"/>
    <n v="40.6"/>
    <n v="0.28399999999999997"/>
    <n v="26"/>
    <x v="1"/>
  </r>
  <r>
    <n v="1"/>
    <n v="95"/>
    <n v="82"/>
    <n v="25"/>
    <n v="180"/>
    <n v="35"/>
    <n v="0.23300000000000001"/>
    <n v="43"/>
    <x v="0"/>
  </r>
  <r>
    <n v="2"/>
    <n v="99"/>
    <n v="0"/>
    <n v="0"/>
    <n v="0"/>
    <n v="22.2"/>
    <n v="0.108"/>
    <n v="23"/>
    <x v="1"/>
  </r>
  <r>
    <n v="3"/>
    <n v="89"/>
    <n v="74"/>
    <n v="16"/>
    <n v="85"/>
    <n v="30.4"/>
    <n v="0.55100000000000005"/>
    <n v="38"/>
    <x v="1"/>
  </r>
  <r>
    <n v="1"/>
    <n v="80"/>
    <n v="74"/>
    <n v="11"/>
    <n v="60"/>
    <n v="30"/>
    <n v="0.52700000000000002"/>
    <n v="22"/>
    <x v="1"/>
  </r>
  <r>
    <n v="2"/>
    <n v="139"/>
    <n v="75"/>
    <n v="0"/>
    <n v="0"/>
    <n v="25.6"/>
    <n v="0.16700000000000001"/>
    <n v="29"/>
    <x v="1"/>
  </r>
  <r>
    <n v="1"/>
    <n v="90"/>
    <n v="68"/>
    <n v="8"/>
    <n v="0"/>
    <n v="24.5"/>
    <n v="1.1379999999999999"/>
    <n v="36"/>
    <x v="1"/>
  </r>
  <r>
    <n v="0"/>
    <n v="141"/>
    <n v="0"/>
    <n v="0"/>
    <n v="0"/>
    <n v="42.4"/>
    <n v="0.20499999999999999"/>
    <n v="29"/>
    <x v="0"/>
  </r>
  <r>
    <n v="12"/>
    <n v="140"/>
    <n v="85"/>
    <n v="33"/>
    <n v="0"/>
    <n v="37.4"/>
    <n v="0.24399999999999999"/>
    <n v="41"/>
    <x v="1"/>
  </r>
  <r>
    <n v="5"/>
    <n v="147"/>
    <n v="75"/>
    <n v="0"/>
    <n v="0"/>
    <n v="29.9"/>
    <n v="0.434"/>
    <n v="28"/>
    <x v="1"/>
  </r>
  <r>
    <n v="1"/>
    <n v="97"/>
    <n v="70"/>
    <n v="15"/>
    <n v="0"/>
    <n v="18.2"/>
    <n v="0.14699999999999999"/>
    <n v="21"/>
    <x v="1"/>
  </r>
  <r>
    <n v="6"/>
    <n v="107"/>
    <n v="88"/>
    <n v="0"/>
    <n v="0"/>
    <n v="36.799999999999997"/>
    <n v="0.72699999999999998"/>
    <n v="31"/>
    <x v="1"/>
  </r>
  <r>
    <n v="0"/>
    <n v="189"/>
    <n v="104"/>
    <n v="25"/>
    <n v="0"/>
    <n v="34.299999999999997"/>
    <n v="0.435"/>
    <n v="41"/>
    <x v="0"/>
  </r>
  <r>
    <n v="2"/>
    <n v="83"/>
    <n v="66"/>
    <n v="23"/>
    <n v="50"/>
    <n v="32.200000000000003"/>
    <n v="0.497"/>
    <n v="22"/>
    <x v="1"/>
  </r>
  <r>
    <n v="4"/>
    <n v="117"/>
    <n v="64"/>
    <n v="27"/>
    <n v="120"/>
    <n v="33.200000000000003"/>
    <n v="0.23"/>
    <n v="24"/>
    <x v="1"/>
  </r>
  <r>
    <n v="8"/>
    <n v="108"/>
    <n v="70"/>
    <n v="0"/>
    <n v="0"/>
    <n v="30.5"/>
    <n v="0.95499999999999996"/>
    <n v="33"/>
    <x v="0"/>
  </r>
  <r>
    <n v="4"/>
    <n v="117"/>
    <n v="62"/>
    <n v="12"/>
    <n v="0"/>
    <n v="29.7"/>
    <n v="0.38"/>
    <n v="30"/>
    <x v="0"/>
  </r>
  <r>
    <n v="0"/>
    <n v="180"/>
    <n v="78"/>
    <n v="63"/>
    <n v="14"/>
    <n v="59.4"/>
    <n v="2.42"/>
    <n v="25"/>
    <x v="0"/>
  </r>
  <r>
    <n v="1"/>
    <n v="100"/>
    <n v="72"/>
    <n v="12"/>
    <n v="70"/>
    <n v="25.3"/>
    <n v="0.65800000000000003"/>
    <n v="28"/>
    <x v="1"/>
  </r>
  <r>
    <n v="0"/>
    <n v="95"/>
    <n v="80"/>
    <n v="45"/>
    <n v="92"/>
    <n v="36.5"/>
    <n v="0.33"/>
    <n v="26"/>
    <x v="1"/>
  </r>
  <r>
    <n v="0"/>
    <n v="104"/>
    <n v="64"/>
    <n v="37"/>
    <n v="64"/>
    <n v="33.6"/>
    <n v="0.51"/>
    <n v="22"/>
    <x v="0"/>
  </r>
  <r>
    <n v="0"/>
    <n v="120"/>
    <n v="74"/>
    <n v="18"/>
    <n v="63"/>
    <n v="30.5"/>
    <n v="0.28499999999999998"/>
    <n v="26"/>
    <x v="1"/>
  </r>
  <r>
    <n v="1"/>
    <n v="82"/>
    <n v="64"/>
    <n v="13"/>
    <n v="95"/>
    <n v="21.2"/>
    <n v="0.41499999999999998"/>
    <n v="23"/>
    <x v="1"/>
  </r>
  <r>
    <n v="2"/>
    <n v="134"/>
    <n v="70"/>
    <n v="0"/>
    <n v="0"/>
    <n v="28.9"/>
    <n v="0.54200000000000004"/>
    <n v="23"/>
    <x v="0"/>
  </r>
  <r>
    <n v="0"/>
    <n v="91"/>
    <n v="68"/>
    <n v="32"/>
    <n v="210"/>
    <n v="39.9"/>
    <n v="0.38100000000000001"/>
    <n v="25"/>
    <x v="1"/>
  </r>
  <r>
    <n v="2"/>
    <n v="119"/>
    <n v="0"/>
    <n v="0"/>
    <n v="0"/>
    <n v="19.600000000000001"/>
    <n v="0.83199999999999996"/>
    <n v="72"/>
    <x v="1"/>
  </r>
  <r>
    <n v="2"/>
    <n v="100"/>
    <n v="54"/>
    <n v="28"/>
    <n v="105"/>
    <n v="37.799999999999997"/>
    <n v="0.498"/>
    <n v="24"/>
    <x v="1"/>
  </r>
  <r>
    <n v="14"/>
    <n v="175"/>
    <n v="62"/>
    <n v="30"/>
    <n v="0"/>
    <n v="33.6"/>
    <n v="0.21199999999999999"/>
    <n v="38"/>
    <x v="0"/>
  </r>
  <r>
    <n v="1"/>
    <n v="135"/>
    <n v="54"/>
    <n v="0"/>
    <n v="0"/>
    <n v="26.7"/>
    <n v="0.68700000000000006"/>
    <n v="62"/>
    <x v="1"/>
  </r>
  <r>
    <n v="5"/>
    <n v="86"/>
    <n v="68"/>
    <n v="28"/>
    <n v="71"/>
    <n v="30.2"/>
    <n v="0.36399999999999999"/>
    <n v="24"/>
    <x v="1"/>
  </r>
  <r>
    <n v="10"/>
    <n v="148"/>
    <n v="84"/>
    <n v="48"/>
    <n v="237"/>
    <n v="37.6"/>
    <n v="1.0009999999999999"/>
    <n v="51"/>
    <x v="0"/>
  </r>
  <r>
    <n v="9"/>
    <n v="134"/>
    <n v="74"/>
    <n v="33"/>
    <n v="60"/>
    <n v="25.9"/>
    <n v="0.46"/>
    <n v="81"/>
    <x v="1"/>
  </r>
  <r>
    <n v="9"/>
    <n v="120"/>
    <n v="72"/>
    <n v="22"/>
    <n v="56"/>
    <n v="20.8"/>
    <n v="0.73299999999999998"/>
    <n v="48"/>
    <x v="1"/>
  </r>
  <r>
    <n v="1"/>
    <n v="71"/>
    <n v="62"/>
    <n v="0"/>
    <n v="0"/>
    <n v="21.8"/>
    <n v="0.41599999999999998"/>
    <n v="26"/>
    <x v="1"/>
  </r>
  <r>
    <n v="8"/>
    <n v="74"/>
    <n v="70"/>
    <n v="40"/>
    <n v="49"/>
    <n v="35.299999999999997"/>
    <n v="0.70499999999999996"/>
    <n v="39"/>
    <x v="1"/>
  </r>
  <r>
    <n v="5"/>
    <n v="88"/>
    <n v="78"/>
    <n v="30"/>
    <n v="0"/>
    <n v="27.6"/>
    <n v="0.25800000000000001"/>
    <n v="37"/>
    <x v="1"/>
  </r>
  <r>
    <n v="10"/>
    <n v="115"/>
    <n v="98"/>
    <n v="0"/>
    <n v="0"/>
    <n v="24"/>
    <n v="1.022"/>
    <n v="34"/>
    <x v="1"/>
  </r>
  <r>
    <n v="0"/>
    <n v="124"/>
    <n v="56"/>
    <n v="13"/>
    <n v="105"/>
    <n v="21.8"/>
    <n v="0.45200000000000001"/>
    <n v="21"/>
    <x v="1"/>
  </r>
  <r>
    <n v="0"/>
    <n v="74"/>
    <n v="52"/>
    <n v="10"/>
    <n v="36"/>
    <n v="27.8"/>
    <n v="0.26900000000000002"/>
    <n v="22"/>
    <x v="1"/>
  </r>
  <r>
    <n v="0"/>
    <n v="97"/>
    <n v="64"/>
    <n v="36"/>
    <n v="100"/>
    <n v="36.799999999999997"/>
    <n v="0.6"/>
    <n v="25"/>
    <x v="1"/>
  </r>
  <r>
    <n v="8"/>
    <n v="120"/>
    <n v="0"/>
    <n v="0"/>
    <n v="0"/>
    <n v="30"/>
    <n v="0.183"/>
    <n v="38"/>
    <x v="0"/>
  </r>
  <r>
    <n v="6"/>
    <n v="154"/>
    <n v="78"/>
    <n v="41"/>
    <n v="140"/>
    <n v="46.1"/>
    <n v="0.57099999999999995"/>
    <n v="27"/>
    <x v="1"/>
  </r>
  <r>
    <n v="1"/>
    <n v="144"/>
    <n v="82"/>
    <n v="40"/>
    <n v="0"/>
    <n v="41.3"/>
    <n v="0.60699999999999998"/>
    <n v="28"/>
    <x v="1"/>
  </r>
  <r>
    <n v="0"/>
    <n v="137"/>
    <n v="70"/>
    <n v="38"/>
    <n v="0"/>
    <n v="33.200000000000003"/>
    <n v="0.17"/>
    <n v="22"/>
    <x v="1"/>
  </r>
  <r>
    <n v="0"/>
    <n v="119"/>
    <n v="66"/>
    <n v="27"/>
    <n v="0"/>
    <n v="38.799999999999997"/>
    <n v="0.25900000000000001"/>
    <n v="22"/>
    <x v="1"/>
  </r>
  <r>
    <n v="7"/>
    <n v="136"/>
    <n v="90"/>
    <n v="0"/>
    <n v="0"/>
    <n v="29.9"/>
    <n v="0.21"/>
    <n v="50"/>
    <x v="1"/>
  </r>
  <r>
    <n v="4"/>
    <n v="114"/>
    <n v="64"/>
    <n v="0"/>
    <n v="0"/>
    <n v="28.9"/>
    <n v="0.126"/>
    <n v="24"/>
    <x v="1"/>
  </r>
  <r>
    <n v="0"/>
    <n v="137"/>
    <n v="84"/>
    <n v="27"/>
    <n v="0"/>
    <n v="27.3"/>
    <n v="0.23100000000000001"/>
    <n v="59"/>
    <x v="1"/>
  </r>
  <r>
    <n v="2"/>
    <n v="105"/>
    <n v="80"/>
    <n v="45"/>
    <n v="191"/>
    <n v="33.700000000000003"/>
    <n v="0.71099999999999997"/>
    <n v="29"/>
    <x v="0"/>
  </r>
  <r>
    <n v="7"/>
    <n v="114"/>
    <n v="76"/>
    <n v="17"/>
    <n v="110"/>
    <n v="23.8"/>
    <n v="0.46600000000000003"/>
    <n v="31"/>
    <x v="1"/>
  </r>
  <r>
    <n v="8"/>
    <n v="126"/>
    <n v="74"/>
    <n v="38"/>
    <n v="75"/>
    <n v="25.9"/>
    <n v="0.16200000000000001"/>
    <n v="39"/>
    <x v="1"/>
  </r>
  <r>
    <n v="4"/>
    <n v="132"/>
    <n v="86"/>
    <n v="31"/>
    <n v="0"/>
    <n v="28"/>
    <n v="0.41899999999999998"/>
    <n v="63"/>
    <x v="1"/>
  </r>
  <r>
    <n v="3"/>
    <n v="158"/>
    <n v="70"/>
    <n v="30"/>
    <n v="328"/>
    <n v="35.5"/>
    <n v="0.34399999999999997"/>
    <n v="35"/>
    <x v="0"/>
  </r>
  <r>
    <n v="0"/>
    <n v="123"/>
    <n v="88"/>
    <n v="37"/>
    <n v="0"/>
    <n v="35.200000000000003"/>
    <n v="0.19700000000000001"/>
    <n v="29"/>
    <x v="1"/>
  </r>
  <r>
    <n v="4"/>
    <n v="85"/>
    <n v="58"/>
    <n v="22"/>
    <n v="49"/>
    <n v="27.8"/>
    <n v="0.30599999999999999"/>
    <n v="28"/>
    <x v="1"/>
  </r>
  <r>
    <n v="0"/>
    <n v="84"/>
    <n v="82"/>
    <n v="31"/>
    <n v="125"/>
    <n v="38.200000000000003"/>
    <n v="0.23300000000000001"/>
    <n v="23"/>
    <x v="1"/>
  </r>
  <r>
    <n v="0"/>
    <n v="145"/>
    <n v="0"/>
    <n v="0"/>
    <n v="0"/>
    <n v="44.2"/>
    <n v="0.63"/>
    <n v="31"/>
    <x v="0"/>
  </r>
  <r>
    <n v="0"/>
    <n v="135"/>
    <n v="68"/>
    <n v="42"/>
    <n v="250"/>
    <n v="42.3"/>
    <n v="0.36499999999999999"/>
    <n v="24"/>
    <x v="0"/>
  </r>
  <r>
    <n v="1"/>
    <n v="139"/>
    <n v="62"/>
    <n v="41"/>
    <n v="480"/>
    <n v="40.700000000000003"/>
    <n v="0.53600000000000003"/>
    <n v="21"/>
    <x v="1"/>
  </r>
  <r>
    <n v="0"/>
    <n v="173"/>
    <n v="78"/>
    <n v="32"/>
    <n v="265"/>
    <n v="46.5"/>
    <n v="1.159"/>
    <n v="58"/>
    <x v="1"/>
  </r>
  <r>
    <n v="4"/>
    <n v="99"/>
    <n v="72"/>
    <n v="17"/>
    <n v="0"/>
    <n v="25.6"/>
    <n v="0.29399999999999998"/>
    <n v="28"/>
    <x v="1"/>
  </r>
  <r>
    <n v="8"/>
    <n v="194"/>
    <n v="80"/>
    <n v="0"/>
    <n v="0"/>
    <n v="26.1"/>
    <n v="0.55100000000000005"/>
    <n v="67"/>
    <x v="1"/>
  </r>
  <r>
    <n v="2"/>
    <n v="83"/>
    <n v="65"/>
    <n v="28"/>
    <n v="66"/>
    <n v="36.799999999999997"/>
    <n v="0.629"/>
    <n v="24"/>
    <x v="1"/>
  </r>
  <r>
    <n v="2"/>
    <n v="89"/>
    <n v="90"/>
    <n v="30"/>
    <n v="0"/>
    <n v="33.5"/>
    <n v="0.29199999999999998"/>
    <n v="42"/>
    <x v="1"/>
  </r>
  <r>
    <n v="4"/>
    <n v="99"/>
    <n v="68"/>
    <n v="38"/>
    <n v="0"/>
    <n v="32.799999999999997"/>
    <n v="0.14499999999999999"/>
    <n v="33"/>
    <x v="1"/>
  </r>
  <r>
    <n v="4"/>
    <n v="125"/>
    <n v="70"/>
    <n v="18"/>
    <n v="122"/>
    <n v="28.9"/>
    <n v="1.1439999999999999"/>
    <n v="45"/>
    <x v="0"/>
  </r>
  <r>
    <n v="3"/>
    <n v="80"/>
    <n v="0"/>
    <n v="0"/>
    <n v="0"/>
    <n v="0"/>
    <n v="0.17399999999999999"/>
    <n v="22"/>
    <x v="1"/>
  </r>
  <r>
    <n v="6"/>
    <n v="166"/>
    <n v="74"/>
    <n v="0"/>
    <n v="0"/>
    <n v="26.6"/>
    <n v="0.30399999999999999"/>
    <n v="66"/>
    <x v="1"/>
  </r>
  <r>
    <n v="5"/>
    <n v="110"/>
    <n v="68"/>
    <n v="0"/>
    <n v="0"/>
    <n v="26"/>
    <n v="0.29199999999999998"/>
    <n v="30"/>
    <x v="1"/>
  </r>
  <r>
    <n v="2"/>
    <n v="81"/>
    <n v="72"/>
    <n v="15"/>
    <n v="76"/>
    <n v="30.1"/>
    <n v="0.54700000000000004"/>
    <n v="25"/>
    <x v="1"/>
  </r>
  <r>
    <n v="7"/>
    <n v="195"/>
    <n v="70"/>
    <n v="33"/>
    <n v="145"/>
    <n v="25.1"/>
    <n v="0.16300000000000001"/>
    <n v="55"/>
    <x v="0"/>
  </r>
  <r>
    <n v="6"/>
    <n v="154"/>
    <n v="74"/>
    <n v="32"/>
    <n v="193"/>
    <n v="29.3"/>
    <n v="0.83899999999999997"/>
    <n v="39"/>
    <x v="1"/>
  </r>
  <r>
    <n v="2"/>
    <n v="117"/>
    <n v="90"/>
    <n v="19"/>
    <n v="71"/>
    <n v="25.2"/>
    <n v="0.313"/>
    <n v="21"/>
    <x v="1"/>
  </r>
  <r>
    <n v="3"/>
    <n v="84"/>
    <n v="72"/>
    <n v="32"/>
    <n v="0"/>
    <n v="37.200000000000003"/>
    <n v="0.26700000000000002"/>
    <n v="28"/>
    <x v="1"/>
  </r>
  <r>
    <n v="6"/>
    <n v="0"/>
    <n v="68"/>
    <n v="41"/>
    <n v="0"/>
    <n v="39"/>
    <n v="0.72699999999999998"/>
    <n v="41"/>
    <x v="0"/>
  </r>
  <r>
    <n v="7"/>
    <n v="94"/>
    <n v="64"/>
    <n v="25"/>
    <n v="79"/>
    <n v="33.299999999999997"/>
    <n v="0.73799999999999999"/>
    <n v="41"/>
    <x v="1"/>
  </r>
  <r>
    <n v="3"/>
    <n v="96"/>
    <n v="78"/>
    <n v="39"/>
    <n v="0"/>
    <n v="37.299999999999997"/>
    <n v="0.23799999999999999"/>
    <n v="40"/>
    <x v="1"/>
  </r>
  <r>
    <n v="10"/>
    <n v="75"/>
    <n v="82"/>
    <n v="0"/>
    <n v="0"/>
    <n v="33.299999999999997"/>
    <n v="0.26300000000000001"/>
    <n v="38"/>
    <x v="1"/>
  </r>
  <r>
    <n v="0"/>
    <n v="180"/>
    <n v="90"/>
    <n v="26"/>
    <n v="90"/>
    <n v="36.5"/>
    <n v="0.314"/>
    <n v="35"/>
    <x v="0"/>
  </r>
  <r>
    <n v="1"/>
    <n v="130"/>
    <n v="60"/>
    <n v="23"/>
    <n v="170"/>
    <n v="28.6"/>
    <n v="0.69199999999999995"/>
    <n v="21"/>
    <x v="1"/>
  </r>
  <r>
    <n v="2"/>
    <n v="84"/>
    <n v="50"/>
    <n v="23"/>
    <n v="76"/>
    <n v="30.4"/>
    <n v="0.96799999999999997"/>
    <n v="21"/>
    <x v="1"/>
  </r>
  <r>
    <n v="8"/>
    <n v="120"/>
    <n v="78"/>
    <n v="0"/>
    <n v="0"/>
    <n v="25"/>
    <n v="0.40899999999999997"/>
    <n v="64"/>
    <x v="1"/>
  </r>
  <r>
    <n v="12"/>
    <n v="84"/>
    <n v="72"/>
    <n v="31"/>
    <n v="0"/>
    <n v="29.7"/>
    <n v="0.29699999999999999"/>
    <n v="46"/>
    <x v="0"/>
  </r>
  <r>
    <n v="0"/>
    <n v="139"/>
    <n v="62"/>
    <n v="17"/>
    <n v="210"/>
    <n v="22.1"/>
    <n v="0.20699999999999999"/>
    <n v="21"/>
    <x v="1"/>
  </r>
  <r>
    <n v="9"/>
    <n v="91"/>
    <n v="68"/>
    <n v="0"/>
    <n v="0"/>
    <n v="24.2"/>
    <n v="0.2"/>
    <n v="58"/>
    <x v="1"/>
  </r>
  <r>
    <n v="2"/>
    <n v="91"/>
    <n v="62"/>
    <n v="0"/>
    <n v="0"/>
    <n v="27.3"/>
    <n v="0.52500000000000002"/>
    <n v="22"/>
    <x v="1"/>
  </r>
  <r>
    <n v="3"/>
    <n v="99"/>
    <n v="54"/>
    <n v="19"/>
    <n v="86"/>
    <n v="25.6"/>
    <n v="0.154"/>
    <n v="24"/>
    <x v="1"/>
  </r>
  <r>
    <n v="3"/>
    <n v="163"/>
    <n v="70"/>
    <n v="18"/>
    <n v="105"/>
    <n v="31.6"/>
    <n v="0.26800000000000002"/>
    <n v="28"/>
    <x v="0"/>
  </r>
  <r>
    <n v="9"/>
    <n v="145"/>
    <n v="88"/>
    <n v="34"/>
    <n v="165"/>
    <n v="30.3"/>
    <n v="0.77100000000000002"/>
    <n v="53"/>
    <x v="0"/>
  </r>
  <r>
    <n v="7"/>
    <n v="125"/>
    <n v="86"/>
    <n v="0"/>
    <n v="0"/>
    <n v="37.6"/>
    <n v="0.30399999999999999"/>
    <n v="51"/>
    <x v="1"/>
  </r>
  <r>
    <n v="13"/>
    <n v="76"/>
    <n v="60"/>
    <n v="0"/>
    <n v="0"/>
    <n v="32.799999999999997"/>
    <n v="0.18"/>
    <n v="41"/>
    <x v="1"/>
  </r>
  <r>
    <n v="6"/>
    <n v="129"/>
    <n v="90"/>
    <n v="7"/>
    <n v="326"/>
    <n v="19.600000000000001"/>
    <n v="0.58199999999999996"/>
    <n v="60"/>
    <x v="1"/>
  </r>
  <r>
    <n v="2"/>
    <n v="68"/>
    <n v="70"/>
    <n v="32"/>
    <n v="66"/>
    <n v="25"/>
    <n v="0.187"/>
    <n v="25"/>
    <x v="1"/>
  </r>
  <r>
    <n v="3"/>
    <n v="124"/>
    <n v="80"/>
    <n v="33"/>
    <n v="130"/>
    <n v="33.200000000000003"/>
    <n v="0.30499999999999999"/>
    <n v="26"/>
    <x v="1"/>
  </r>
  <r>
    <n v="6"/>
    <n v="114"/>
    <n v="0"/>
    <n v="0"/>
    <n v="0"/>
    <n v="0"/>
    <n v="0.189"/>
    <n v="26"/>
    <x v="1"/>
  </r>
  <r>
    <n v="9"/>
    <n v="130"/>
    <n v="70"/>
    <n v="0"/>
    <n v="0"/>
    <n v="34.200000000000003"/>
    <n v="0.65200000000000002"/>
    <n v="45"/>
    <x v="0"/>
  </r>
  <r>
    <n v="3"/>
    <n v="125"/>
    <n v="58"/>
    <n v="0"/>
    <n v="0"/>
    <n v="31.6"/>
    <n v="0.151"/>
    <n v="24"/>
    <x v="1"/>
  </r>
  <r>
    <n v="3"/>
    <n v="87"/>
    <n v="60"/>
    <n v="18"/>
    <n v="0"/>
    <n v="21.8"/>
    <n v="0.44400000000000001"/>
    <n v="21"/>
    <x v="1"/>
  </r>
  <r>
    <n v="1"/>
    <n v="97"/>
    <n v="64"/>
    <n v="19"/>
    <n v="82"/>
    <n v="18.2"/>
    <n v="0.29899999999999999"/>
    <n v="21"/>
    <x v="1"/>
  </r>
  <r>
    <n v="3"/>
    <n v="116"/>
    <n v="74"/>
    <n v="15"/>
    <n v="105"/>
    <n v="26.3"/>
    <n v="0.107"/>
    <n v="24"/>
    <x v="1"/>
  </r>
  <r>
    <n v="0"/>
    <n v="117"/>
    <n v="66"/>
    <n v="31"/>
    <n v="188"/>
    <n v="30.8"/>
    <n v="0.49299999999999999"/>
    <n v="22"/>
    <x v="1"/>
  </r>
  <r>
    <n v="0"/>
    <n v="111"/>
    <n v="65"/>
    <n v="0"/>
    <n v="0"/>
    <n v="24.6"/>
    <n v="0.66"/>
    <n v="31"/>
    <x v="1"/>
  </r>
  <r>
    <n v="2"/>
    <n v="122"/>
    <n v="60"/>
    <n v="18"/>
    <n v="106"/>
    <n v="29.8"/>
    <n v="0.71699999999999997"/>
    <n v="22"/>
    <x v="1"/>
  </r>
  <r>
    <n v="0"/>
    <n v="107"/>
    <n v="76"/>
    <n v="0"/>
    <n v="0"/>
    <n v="45.3"/>
    <n v="0.68600000000000005"/>
    <n v="24"/>
    <x v="1"/>
  </r>
  <r>
    <n v="1"/>
    <n v="86"/>
    <n v="66"/>
    <n v="52"/>
    <n v="65"/>
    <n v="41.3"/>
    <n v="0.91700000000000004"/>
    <n v="29"/>
    <x v="1"/>
  </r>
  <r>
    <n v="6"/>
    <n v="91"/>
    <n v="0"/>
    <n v="0"/>
    <n v="0"/>
    <n v="29.8"/>
    <n v="0.501"/>
    <n v="31"/>
    <x v="1"/>
  </r>
  <r>
    <n v="1"/>
    <n v="77"/>
    <n v="56"/>
    <n v="30"/>
    <n v="56"/>
    <n v="33.299999999999997"/>
    <n v="1.2509999999999999"/>
    <n v="24"/>
    <x v="1"/>
  </r>
  <r>
    <n v="4"/>
    <n v="132"/>
    <n v="0"/>
    <n v="0"/>
    <n v="0"/>
    <n v="32.9"/>
    <n v="0.30199999999999999"/>
    <n v="23"/>
    <x v="0"/>
  </r>
  <r>
    <n v="0"/>
    <n v="105"/>
    <n v="90"/>
    <n v="0"/>
    <n v="0"/>
    <n v="29.6"/>
    <n v="0.19700000000000001"/>
    <n v="46"/>
    <x v="1"/>
  </r>
  <r>
    <n v="0"/>
    <n v="57"/>
    <n v="60"/>
    <n v="0"/>
    <n v="0"/>
    <n v="21.7"/>
    <n v="0.73499999999999999"/>
    <n v="67"/>
    <x v="1"/>
  </r>
  <r>
    <n v="0"/>
    <n v="127"/>
    <n v="80"/>
    <n v="37"/>
    <n v="210"/>
    <n v="36.299999999999997"/>
    <n v="0.80400000000000005"/>
    <n v="23"/>
    <x v="1"/>
  </r>
  <r>
    <n v="3"/>
    <n v="129"/>
    <n v="92"/>
    <n v="49"/>
    <n v="155"/>
    <n v="36.4"/>
    <n v="0.96799999999999997"/>
    <n v="32"/>
    <x v="0"/>
  </r>
  <r>
    <n v="8"/>
    <n v="100"/>
    <n v="74"/>
    <n v="40"/>
    <n v="215"/>
    <n v="39.4"/>
    <n v="0.66100000000000003"/>
    <n v="43"/>
    <x v="0"/>
  </r>
  <r>
    <n v="3"/>
    <n v="128"/>
    <n v="72"/>
    <n v="25"/>
    <n v="190"/>
    <n v="32.4"/>
    <n v="0.54900000000000004"/>
    <n v="27"/>
    <x v="0"/>
  </r>
  <r>
    <n v="10"/>
    <n v="90"/>
    <n v="85"/>
    <n v="32"/>
    <n v="0"/>
    <n v="34.9"/>
    <n v="0.82499999999999996"/>
    <n v="56"/>
    <x v="0"/>
  </r>
  <r>
    <n v="4"/>
    <n v="84"/>
    <n v="90"/>
    <n v="23"/>
    <n v="56"/>
    <n v="39.5"/>
    <n v="0.159"/>
    <n v="25"/>
    <x v="1"/>
  </r>
  <r>
    <n v="1"/>
    <n v="88"/>
    <n v="78"/>
    <n v="29"/>
    <n v="76"/>
    <n v="32"/>
    <n v="0.36499999999999999"/>
    <n v="29"/>
    <x v="1"/>
  </r>
  <r>
    <n v="8"/>
    <n v="186"/>
    <n v="90"/>
    <n v="35"/>
    <n v="225"/>
    <n v="34.5"/>
    <n v="0.42299999999999999"/>
    <n v="37"/>
    <x v="0"/>
  </r>
  <r>
    <n v="5"/>
    <n v="187"/>
    <n v="76"/>
    <n v="27"/>
    <n v="207"/>
    <n v="43.6"/>
    <n v="1.034"/>
    <n v="53"/>
    <x v="0"/>
  </r>
  <r>
    <n v="4"/>
    <n v="131"/>
    <n v="68"/>
    <n v="21"/>
    <n v="166"/>
    <n v="33.1"/>
    <n v="0.16"/>
    <n v="28"/>
    <x v="1"/>
  </r>
  <r>
    <n v="1"/>
    <n v="164"/>
    <n v="82"/>
    <n v="43"/>
    <n v="67"/>
    <n v="32.799999999999997"/>
    <n v="0.34100000000000003"/>
    <n v="50"/>
    <x v="1"/>
  </r>
  <r>
    <n v="4"/>
    <n v="189"/>
    <n v="110"/>
    <n v="31"/>
    <n v="0"/>
    <n v="28.5"/>
    <n v="0.68"/>
    <n v="37"/>
    <x v="1"/>
  </r>
  <r>
    <n v="1"/>
    <n v="116"/>
    <n v="70"/>
    <n v="28"/>
    <n v="0"/>
    <n v="27.4"/>
    <n v="0.20399999999999999"/>
    <n v="21"/>
    <x v="1"/>
  </r>
  <r>
    <n v="3"/>
    <n v="84"/>
    <n v="68"/>
    <n v="30"/>
    <n v="106"/>
    <n v="31.9"/>
    <n v="0.59099999999999997"/>
    <n v="25"/>
    <x v="1"/>
  </r>
  <r>
    <n v="6"/>
    <n v="114"/>
    <n v="88"/>
    <n v="0"/>
    <n v="0"/>
    <n v="27.8"/>
    <n v="0.247"/>
    <n v="66"/>
    <x v="1"/>
  </r>
  <r>
    <n v="1"/>
    <n v="88"/>
    <n v="62"/>
    <n v="24"/>
    <n v="44"/>
    <n v="29.9"/>
    <n v="0.42199999999999999"/>
    <n v="23"/>
    <x v="1"/>
  </r>
  <r>
    <n v="1"/>
    <n v="84"/>
    <n v="64"/>
    <n v="23"/>
    <n v="115"/>
    <n v="36.9"/>
    <n v="0.47099999999999997"/>
    <n v="28"/>
    <x v="1"/>
  </r>
  <r>
    <n v="7"/>
    <n v="124"/>
    <n v="70"/>
    <n v="33"/>
    <n v="215"/>
    <n v="25.5"/>
    <n v="0.161"/>
    <n v="37"/>
    <x v="1"/>
  </r>
  <r>
    <n v="1"/>
    <n v="97"/>
    <n v="70"/>
    <n v="40"/>
    <n v="0"/>
    <n v="38.1"/>
    <n v="0.218"/>
    <n v="30"/>
    <x v="1"/>
  </r>
  <r>
    <n v="8"/>
    <n v="110"/>
    <n v="76"/>
    <n v="0"/>
    <n v="0"/>
    <n v="27.8"/>
    <n v="0.23699999999999999"/>
    <n v="58"/>
    <x v="1"/>
  </r>
  <r>
    <n v="11"/>
    <n v="103"/>
    <n v="68"/>
    <n v="40"/>
    <n v="0"/>
    <n v="46.2"/>
    <n v="0.126"/>
    <n v="42"/>
    <x v="1"/>
  </r>
  <r>
    <n v="11"/>
    <n v="85"/>
    <n v="74"/>
    <n v="0"/>
    <n v="0"/>
    <n v="30.1"/>
    <n v="0.3"/>
    <n v="35"/>
    <x v="1"/>
  </r>
  <r>
    <n v="6"/>
    <n v="125"/>
    <n v="76"/>
    <n v="0"/>
    <n v="0"/>
    <n v="33.799999999999997"/>
    <n v="0.121"/>
    <n v="54"/>
    <x v="0"/>
  </r>
  <r>
    <n v="0"/>
    <n v="198"/>
    <n v="66"/>
    <n v="32"/>
    <n v="274"/>
    <n v="41.3"/>
    <n v="0.502"/>
    <n v="28"/>
    <x v="0"/>
  </r>
  <r>
    <n v="1"/>
    <n v="87"/>
    <n v="68"/>
    <n v="34"/>
    <n v="77"/>
    <n v="37.6"/>
    <n v="0.40100000000000002"/>
    <n v="24"/>
    <x v="1"/>
  </r>
  <r>
    <n v="6"/>
    <n v="99"/>
    <n v="60"/>
    <n v="19"/>
    <n v="54"/>
    <n v="26.9"/>
    <n v="0.497"/>
    <n v="32"/>
    <x v="1"/>
  </r>
  <r>
    <n v="0"/>
    <n v="91"/>
    <n v="80"/>
    <n v="0"/>
    <n v="0"/>
    <n v="32.4"/>
    <n v="0.60099999999999998"/>
    <n v="27"/>
    <x v="1"/>
  </r>
  <r>
    <n v="2"/>
    <n v="95"/>
    <n v="54"/>
    <n v="14"/>
    <n v="88"/>
    <n v="26.1"/>
    <n v="0.748"/>
    <n v="22"/>
    <x v="1"/>
  </r>
  <r>
    <n v="1"/>
    <n v="99"/>
    <n v="72"/>
    <n v="30"/>
    <n v="18"/>
    <n v="38.6"/>
    <n v="0.41199999999999998"/>
    <n v="21"/>
    <x v="1"/>
  </r>
  <r>
    <n v="6"/>
    <n v="92"/>
    <n v="62"/>
    <n v="32"/>
    <n v="126"/>
    <n v="32"/>
    <n v="8.5000000000000006E-2"/>
    <n v="46"/>
    <x v="1"/>
  </r>
  <r>
    <n v="4"/>
    <n v="154"/>
    <n v="72"/>
    <n v="29"/>
    <n v="126"/>
    <n v="31.3"/>
    <n v="0.33800000000000002"/>
    <n v="37"/>
    <x v="1"/>
  </r>
  <r>
    <n v="0"/>
    <n v="121"/>
    <n v="66"/>
    <n v="30"/>
    <n v="165"/>
    <n v="34.299999999999997"/>
    <n v="0.20300000000000001"/>
    <n v="33"/>
    <x v="0"/>
  </r>
  <r>
    <n v="3"/>
    <n v="78"/>
    <n v="70"/>
    <n v="0"/>
    <n v="0"/>
    <n v="32.5"/>
    <n v="0.27"/>
    <n v="39"/>
    <x v="1"/>
  </r>
  <r>
    <n v="2"/>
    <n v="130"/>
    <n v="96"/>
    <n v="0"/>
    <n v="0"/>
    <n v="22.6"/>
    <n v="0.26800000000000002"/>
    <n v="21"/>
    <x v="1"/>
  </r>
  <r>
    <n v="3"/>
    <n v="111"/>
    <n v="58"/>
    <n v="31"/>
    <n v="44"/>
    <n v="29.5"/>
    <n v="0.43"/>
    <n v="22"/>
    <x v="1"/>
  </r>
  <r>
    <n v="2"/>
    <n v="98"/>
    <n v="60"/>
    <n v="17"/>
    <n v="120"/>
    <n v="34.700000000000003"/>
    <n v="0.19800000000000001"/>
    <n v="22"/>
    <x v="1"/>
  </r>
  <r>
    <n v="1"/>
    <n v="143"/>
    <n v="86"/>
    <n v="30"/>
    <n v="330"/>
    <n v="30.1"/>
    <n v="0.89200000000000002"/>
    <n v="23"/>
    <x v="1"/>
  </r>
  <r>
    <n v="1"/>
    <n v="119"/>
    <n v="44"/>
    <n v="47"/>
    <n v="63"/>
    <n v="35.5"/>
    <n v="0.28000000000000003"/>
    <n v="25"/>
    <x v="1"/>
  </r>
  <r>
    <n v="6"/>
    <n v="108"/>
    <n v="44"/>
    <n v="20"/>
    <n v="130"/>
    <n v="24"/>
    <n v="0.81299999999999994"/>
    <n v="35"/>
    <x v="1"/>
  </r>
  <r>
    <n v="2"/>
    <n v="118"/>
    <n v="80"/>
    <n v="0"/>
    <n v="0"/>
    <n v="42.9"/>
    <n v="0.69299999999999995"/>
    <n v="21"/>
    <x v="0"/>
  </r>
  <r>
    <n v="10"/>
    <n v="133"/>
    <n v="68"/>
    <n v="0"/>
    <n v="0"/>
    <n v="27"/>
    <n v="0.245"/>
    <n v="36"/>
    <x v="1"/>
  </r>
  <r>
    <n v="2"/>
    <n v="197"/>
    <n v="70"/>
    <n v="99"/>
    <n v="0"/>
    <n v="34.700000000000003"/>
    <n v="0.57499999999999996"/>
    <n v="62"/>
    <x v="0"/>
  </r>
  <r>
    <n v="0"/>
    <n v="151"/>
    <n v="90"/>
    <n v="46"/>
    <n v="0"/>
    <n v="42.1"/>
    <n v="0.371"/>
    <n v="21"/>
    <x v="0"/>
  </r>
  <r>
    <n v="6"/>
    <n v="109"/>
    <n v="60"/>
    <n v="27"/>
    <n v="0"/>
    <n v="25"/>
    <n v="0.20599999999999999"/>
    <n v="27"/>
    <x v="1"/>
  </r>
  <r>
    <n v="12"/>
    <n v="121"/>
    <n v="78"/>
    <n v="17"/>
    <n v="0"/>
    <n v="26.5"/>
    <n v="0.25900000000000001"/>
    <n v="62"/>
    <x v="1"/>
  </r>
  <r>
    <n v="8"/>
    <n v="100"/>
    <n v="76"/>
    <n v="0"/>
    <n v="0"/>
    <n v="38.700000000000003"/>
    <n v="0.19"/>
    <n v="42"/>
    <x v="1"/>
  </r>
  <r>
    <n v="8"/>
    <n v="124"/>
    <n v="76"/>
    <n v="24"/>
    <n v="600"/>
    <n v="28.7"/>
    <n v="0.68700000000000006"/>
    <n v="52"/>
    <x v="0"/>
  </r>
  <r>
    <n v="1"/>
    <n v="93"/>
    <n v="56"/>
    <n v="11"/>
    <n v="0"/>
    <n v="22.5"/>
    <n v="0.41699999999999998"/>
    <n v="22"/>
    <x v="1"/>
  </r>
  <r>
    <n v="8"/>
    <n v="143"/>
    <n v="66"/>
    <n v="0"/>
    <n v="0"/>
    <n v="34.9"/>
    <n v="0.129"/>
    <n v="41"/>
    <x v="0"/>
  </r>
  <r>
    <n v="6"/>
    <n v="103"/>
    <n v="66"/>
    <n v="0"/>
    <n v="0"/>
    <n v="24.3"/>
    <n v="0.249"/>
    <n v="29"/>
    <x v="1"/>
  </r>
  <r>
    <n v="3"/>
    <n v="176"/>
    <n v="86"/>
    <n v="27"/>
    <n v="156"/>
    <n v="33.299999999999997"/>
    <n v="1.1539999999999999"/>
    <n v="52"/>
    <x v="0"/>
  </r>
  <r>
    <n v="0"/>
    <n v="73"/>
    <n v="0"/>
    <n v="0"/>
    <n v="0"/>
    <n v="21.1"/>
    <n v="0.34200000000000003"/>
    <n v="25"/>
    <x v="1"/>
  </r>
  <r>
    <n v="11"/>
    <n v="111"/>
    <n v="84"/>
    <n v="40"/>
    <n v="0"/>
    <n v="46.8"/>
    <n v="0.92500000000000004"/>
    <n v="45"/>
    <x v="0"/>
  </r>
  <r>
    <n v="2"/>
    <n v="112"/>
    <n v="78"/>
    <n v="50"/>
    <n v="140"/>
    <n v="39.4"/>
    <n v="0.17499999999999999"/>
    <n v="24"/>
    <x v="1"/>
  </r>
  <r>
    <n v="3"/>
    <n v="132"/>
    <n v="80"/>
    <n v="0"/>
    <n v="0"/>
    <n v="34.4"/>
    <n v="0.40200000000000002"/>
    <n v="44"/>
    <x v="0"/>
  </r>
  <r>
    <n v="2"/>
    <n v="82"/>
    <n v="52"/>
    <n v="22"/>
    <n v="115"/>
    <n v="28.5"/>
    <n v="1.6990000000000001"/>
    <n v="25"/>
    <x v="1"/>
  </r>
  <r>
    <n v="6"/>
    <n v="123"/>
    <n v="72"/>
    <n v="45"/>
    <n v="230"/>
    <n v="33.6"/>
    <n v="0.73299999999999998"/>
    <n v="34"/>
    <x v="1"/>
  </r>
  <r>
    <n v="0"/>
    <n v="188"/>
    <n v="82"/>
    <n v="14"/>
    <n v="185"/>
    <n v="32"/>
    <n v="0.68200000000000005"/>
    <n v="22"/>
    <x v="0"/>
  </r>
  <r>
    <n v="0"/>
    <n v="67"/>
    <n v="76"/>
    <n v="0"/>
    <n v="0"/>
    <n v="45.3"/>
    <n v="0.19400000000000001"/>
    <n v="46"/>
    <x v="1"/>
  </r>
  <r>
    <n v="1"/>
    <n v="89"/>
    <n v="24"/>
    <n v="19"/>
    <n v="25"/>
    <n v="27.8"/>
    <n v="0.55900000000000005"/>
    <n v="21"/>
    <x v="1"/>
  </r>
  <r>
    <n v="1"/>
    <n v="173"/>
    <n v="74"/>
    <n v="0"/>
    <n v="0"/>
    <n v="36.799999999999997"/>
    <n v="8.7999999999999995E-2"/>
    <n v="38"/>
    <x v="0"/>
  </r>
  <r>
    <n v="1"/>
    <n v="109"/>
    <n v="38"/>
    <n v="18"/>
    <n v="120"/>
    <n v="23.1"/>
    <n v="0.40699999999999997"/>
    <n v="26"/>
    <x v="1"/>
  </r>
  <r>
    <n v="1"/>
    <n v="108"/>
    <n v="88"/>
    <n v="19"/>
    <n v="0"/>
    <n v="27.1"/>
    <n v="0.4"/>
    <n v="24"/>
    <x v="1"/>
  </r>
  <r>
    <n v="6"/>
    <n v="96"/>
    <n v="0"/>
    <n v="0"/>
    <n v="0"/>
    <n v="23.7"/>
    <n v="0.19"/>
    <n v="28"/>
    <x v="1"/>
  </r>
  <r>
    <n v="1"/>
    <n v="124"/>
    <n v="74"/>
    <n v="36"/>
    <n v="0"/>
    <n v="27.8"/>
    <n v="0.1"/>
    <n v="30"/>
    <x v="1"/>
  </r>
  <r>
    <n v="7"/>
    <n v="150"/>
    <n v="78"/>
    <n v="29"/>
    <n v="126"/>
    <n v="35.200000000000003"/>
    <n v="0.69199999999999995"/>
    <n v="54"/>
    <x v="0"/>
  </r>
  <r>
    <n v="4"/>
    <n v="183"/>
    <n v="0"/>
    <n v="0"/>
    <n v="0"/>
    <n v="28.4"/>
    <n v="0.21199999999999999"/>
    <n v="36"/>
    <x v="0"/>
  </r>
  <r>
    <n v="1"/>
    <n v="124"/>
    <n v="60"/>
    <n v="32"/>
    <n v="0"/>
    <n v="35.799999999999997"/>
    <n v="0.51400000000000001"/>
    <n v="21"/>
    <x v="1"/>
  </r>
  <r>
    <n v="1"/>
    <n v="181"/>
    <n v="78"/>
    <n v="42"/>
    <n v="293"/>
    <n v="40"/>
    <n v="1.258"/>
    <n v="22"/>
    <x v="0"/>
  </r>
  <r>
    <n v="1"/>
    <n v="92"/>
    <n v="62"/>
    <n v="25"/>
    <n v="41"/>
    <n v="19.5"/>
    <n v="0.48199999999999998"/>
    <n v="25"/>
    <x v="1"/>
  </r>
  <r>
    <n v="0"/>
    <n v="152"/>
    <n v="82"/>
    <n v="39"/>
    <n v="272"/>
    <n v="41.5"/>
    <n v="0.27"/>
    <n v="27"/>
    <x v="1"/>
  </r>
  <r>
    <n v="1"/>
    <n v="111"/>
    <n v="62"/>
    <n v="13"/>
    <n v="182"/>
    <n v="24"/>
    <n v="0.13800000000000001"/>
    <n v="23"/>
    <x v="1"/>
  </r>
  <r>
    <n v="3"/>
    <n v="106"/>
    <n v="54"/>
    <n v="21"/>
    <n v="158"/>
    <n v="30.9"/>
    <n v="0.29199999999999998"/>
    <n v="24"/>
    <x v="1"/>
  </r>
  <r>
    <n v="3"/>
    <n v="174"/>
    <n v="58"/>
    <n v="22"/>
    <n v="194"/>
    <n v="32.9"/>
    <n v="0.59299999999999997"/>
    <n v="36"/>
    <x v="0"/>
  </r>
  <r>
    <n v="7"/>
    <n v="168"/>
    <n v="88"/>
    <n v="42"/>
    <n v="321"/>
    <n v="38.200000000000003"/>
    <n v="0.78700000000000003"/>
    <n v="40"/>
    <x v="0"/>
  </r>
  <r>
    <n v="6"/>
    <n v="105"/>
    <n v="80"/>
    <n v="28"/>
    <n v="0"/>
    <n v="32.5"/>
    <n v="0.878"/>
    <n v="26"/>
    <x v="1"/>
  </r>
  <r>
    <n v="11"/>
    <n v="138"/>
    <n v="74"/>
    <n v="26"/>
    <n v="144"/>
    <n v="36.1"/>
    <n v="0.55700000000000005"/>
    <n v="50"/>
    <x v="0"/>
  </r>
  <r>
    <n v="3"/>
    <n v="106"/>
    <n v="72"/>
    <n v="0"/>
    <n v="0"/>
    <n v="25.8"/>
    <n v="0.20699999999999999"/>
    <n v="27"/>
    <x v="1"/>
  </r>
  <r>
    <n v="6"/>
    <n v="117"/>
    <n v="96"/>
    <n v="0"/>
    <n v="0"/>
    <n v="28.7"/>
    <n v="0.157"/>
    <n v="30"/>
    <x v="1"/>
  </r>
  <r>
    <n v="2"/>
    <n v="68"/>
    <n v="62"/>
    <n v="13"/>
    <n v="15"/>
    <n v="20.100000000000001"/>
    <n v="0.25700000000000001"/>
    <n v="23"/>
    <x v="1"/>
  </r>
  <r>
    <n v="9"/>
    <n v="112"/>
    <n v="82"/>
    <n v="24"/>
    <n v="0"/>
    <n v="28.2"/>
    <n v="1.282"/>
    <n v="50"/>
    <x v="0"/>
  </r>
  <r>
    <n v="0"/>
    <n v="119"/>
    <n v="0"/>
    <n v="0"/>
    <n v="0"/>
    <n v="32.4"/>
    <n v="0.14099999999999999"/>
    <n v="24"/>
    <x v="0"/>
  </r>
  <r>
    <n v="2"/>
    <n v="112"/>
    <n v="86"/>
    <n v="42"/>
    <n v="160"/>
    <n v="38.4"/>
    <n v="0.246"/>
    <n v="28"/>
    <x v="1"/>
  </r>
  <r>
    <n v="2"/>
    <n v="92"/>
    <n v="76"/>
    <n v="20"/>
    <n v="0"/>
    <n v="24.2"/>
    <n v="1.698"/>
    <n v="28"/>
    <x v="1"/>
  </r>
  <r>
    <n v="6"/>
    <n v="183"/>
    <n v="94"/>
    <n v="0"/>
    <n v="0"/>
    <n v="40.799999999999997"/>
    <n v="1.4610000000000001"/>
    <n v="45"/>
    <x v="1"/>
  </r>
  <r>
    <n v="0"/>
    <n v="94"/>
    <n v="70"/>
    <n v="27"/>
    <n v="115"/>
    <n v="43.5"/>
    <n v="0.34699999999999998"/>
    <n v="21"/>
    <x v="1"/>
  </r>
  <r>
    <n v="2"/>
    <n v="108"/>
    <n v="64"/>
    <n v="0"/>
    <n v="0"/>
    <n v="30.8"/>
    <n v="0.158"/>
    <n v="21"/>
    <x v="1"/>
  </r>
  <r>
    <n v="4"/>
    <n v="90"/>
    <n v="88"/>
    <n v="47"/>
    <n v="54"/>
    <n v="37.700000000000003"/>
    <n v="0.36199999999999999"/>
    <n v="29"/>
    <x v="1"/>
  </r>
  <r>
    <n v="0"/>
    <n v="125"/>
    <n v="68"/>
    <n v="0"/>
    <n v="0"/>
    <n v="24.7"/>
    <n v="0.20599999999999999"/>
    <n v="21"/>
    <x v="1"/>
  </r>
  <r>
    <n v="0"/>
    <n v="132"/>
    <n v="78"/>
    <n v="0"/>
    <n v="0"/>
    <n v="32.4"/>
    <n v="0.39300000000000002"/>
    <n v="21"/>
    <x v="1"/>
  </r>
  <r>
    <n v="5"/>
    <n v="128"/>
    <n v="80"/>
    <n v="0"/>
    <n v="0"/>
    <n v="34.6"/>
    <n v="0.14399999999999999"/>
    <n v="45"/>
    <x v="1"/>
  </r>
  <r>
    <n v="4"/>
    <n v="94"/>
    <n v="65"/>
    <n v="22"/>
    <n v="0"/>
    <n v="24.7"/>
    <n v="0.14799999999999999"/>
    <n v="21"/>
    <x v="1"/>
  </r>
  <r>
    <n v="7"/>
    <n v="114"/>
    <n v="64"/>
    <n v="0"/>
    <n v="0"/>
    <n v="27.4"/>
    <n v="0.73199999999999998"/>
    <n v="34"/>
    <x v="0"/>
  </r>
  <r>
    <n v="0"/>
    <n v="102"/>
    <n v="78"/>
    <n v="40"/>
    <n v="90"/>
    <n v="34.5"/>
    <n v="0.23799999999999999"/>
    <n v="24"/>
    <x v="1"/>
  </r>
  <r>
    <n v="2"/>
    <n v="111"/>
    <n v="60"/>
    <n v="0"/>
    <n v="0"/>
    <n v="26.2"/>
    <n v="0.34300000000000003"/>
    <n v="23"/>
    <x v="1"/>
  </r>
  <r>
    <n v="1"/>
    <n v="128"/>
    <n v="82"/>
    <n v="17"/>
    <n v="183"/>
    <n v="27.5"/>
    <n v="0.115"/>
    <n v="22"/>
    <x v="1"/>
  </r>
  <r>
    <n v="10"/>
    <n v="92"/>
    <n v="62"/>
    <n v="0"/>
    <n v="0"/>
    <n v="25.9"/>
    <n v="0.16700000000000001"/>
    <n v="31"/>
    <x v="1"/>
  </r>
  <r>
    <n v="13"/>
    <n v="104"/>
    <n v="72"/>
    <n v="0"/>
    <n v="0"/>
    <n v="31.2"/>
    <n v="0.46500000000000002"/>
    <n v="38"/>
    <x v="0"/>
  </r>
  <r>
    <n v="5"/>
    <n v="104"/>
    <n v="74"/>
    <n v="0"/>
    <n v="0"/>
    <n v="28.8"/>
    <n v="0.153"/>
    <n v="48"/>
    <x v="1"/>
  </r>
  <r>
    <n v="2"/>
    <n v="94"/>
    <n v="76"/>
    <n v="18"/>
    <n v="66"/>
    <n v="31.6"/>
    <n v="0.64900000000000002"/>
    <n v="23"/>
    <x v="1"/>
  </r>
  <r>
    <n v="7"/>
    <n v="97"/>
    <n v="76"/>
    <n v="32"/>
    <n v="91"/>
    <n v="40.9"/>
    <n v="0.871"/>
    <n v="32"/>
    <x v="0"/>
  </r>
  <r>
    <n v="1"/>
    <n v="100"/>
    <n v="74"/>
    <n v="12"/>
    <n v="46"/>
    <n v="19.5"/>
    <n v="0.14899999999999999"/>
    <n v="28"/>
    <x v="1"/>
  </r>
  <r>
    <n v="0"/>
    <n v="102"/>
    <n v="86"/>
    <n v="17"/>
    <n v="105"/>
    <n v="29.3"/>
    <n v="0.69499999999999995"/>
    <n v="27"/>
    <x v="1"/>
  </r>
  <r>
    <n v="4"/>
    <n v="128"/>
    <n v="70"/>
    <n v="0"/>
    <n v="0"/>
    <n v="34.299999999999997"/>
    <n v="0.30299999999999999"/>
    <n v="24"/>
    <x v="1"/>
  </r>
  <r>
    <n v="6"/>
    <n v="147"/>
    <n v="80"/>
    <n v="0"/>
    <n v="0"/>
    <n v="29.5"/>
    <n v="0.17799999999999999"/>
    <n v="50"/>
    <x v="0"/>
  </r>
  <r>
    <n v="4"/>
    <n v="90"/>
    <n v="0"/>
    <n v="0"/>
    <n v="0"/>
    <n v="28"/>
    <n v="0.61"/>
    <n v="31"/>
    <x v="1"/>
  </r>
  <r>
    <n v="3"/>
    <n v="103"/>
    <n v="72"/>
    <n v="30"/>
    <n v="152"/>
    <n v="27.6"/>
    <n v="0.73"/>
    <n v="27"/>
    <x v="1"/>
  </r>
  <r>
    <n v="2"/>
    <n v="157"/>
    <n v="74"/>
    <n v="35"/>
    <n v="440"/>
    <n v="39.4"/>
    <n v="0.13400000000000001"/>
    <n v="30"/>
    <x v="1"/>
  </r>
  <r>
    <n v="1"/>
    <n v="167"/>
    <n v="74"/>
    <n v="17"/>
    <n v="144"/>
    <n v="23.4"/>
    <n v="0.44700000000000001"/>
    <n v="33"/>
    <x v="0"/>
  </r>
  <r>
    <n v="0"/>
    <n v="179"/>
    <n v="50"/>
    <n v="36"/>
    <n v="159"/>
    <n v="37.799999999999997"/>
    <n v="0.45500000000000002"/>
    <n v="22"/>
    <x v="0"/>
  </r>
  <r>
    <n v="11"/>
    <n v="136"/>
    <n v="84"/>
    <n v="35"/>
    <n v="130"/>
    <n v="28.3"/>
    <n v="0.26"/>
    <n v="42"/>
    <x v="0"/>
  </r>
  <r>
    <n v="0"/>
    <n v="107"/>
    <n v="60"/>
    <n v="25"/>
    <n v="0"/>
    <n v="26.4"/>
    <n v="0.13300000000000001"/>
    <n v="23"/>
    <x v="1"/>
  </r>
  <r>
    <n v="1"/>
    <n v="91"/>
    <n v="54"/>
    <n v="25"/>
    <n v="100"/>
    <n v="25.2"/>
    <n v="0.23400000000000001"/>
    <n v="23"/>
    <x v="1"/>
  </r>
  <r>
    <n v="1"/>
    <n v="117"/>
    <n v="60"/>
    <n v="23"/>
    <n v="106"/>
    <n v="33.799999999999997"/>
    <n v="0.46600000000000003"/>
    <n v="27"/>
    <x v="1"/>
  </r>
  <r>
    <n v="5"/>
    <n v="123"/>
    <n v="74"/>
    <n v="40"/>
    <n v="77"/>
    <n v="34.1"/>
    <n v="0.26900000000000002"/>
    <n v="28"/>
    <x v="1"/>
  </r>
  <r>
    <n v="2"/>
    <n v="120"/>
    <n v="54"/>
    <n v="0"/>
    <n v="0"/>
    <n v="26.8"/>
    <n v="0.45500000000000002"/>
    <n v="27"/>
    <x v="1"/>
  </r>
  <r>
    <n v="1"/>
    <n v="106"/>
    <n v="70"/>
    <n v="28"/>
    <n v="135"/>
    <n v="34.200000000000003"/>
    <n v="0.14199999999999999"/>
    <n v="22"/>
    <x v="1"/>
  </r>
  <r>
    <n v="2"/>
    <n v="155"/>
    <n v="52"/>
    <n v="27"/>
    <n v="540"/>
    <n v="38.700000000000003"/>
    <n v="0.24"/>
    <n v="25"/>
    <x v="0"/>
  </r>
  <r>
    <n v="2"/>
    <n v="101"/>
    <n v="58"/>
    <n v="35"/>
    <n v="90"/>
    <n v="21.8"/>
    <n v="0.155"/>
    <n v="22"/>
    <x v="1"/>
  </r>
  <r>
    <n v="1"/>
    <n v="120"/>
    <n v="80"/>
    <n v="48"/>
    <n v="200"/>
    <n v="38.9"/>
    <n v="1.1619999999999999"/>
    <n v="41"/>
    <x v="1"/>
  </r>
  <r>
    <n v="11"/>
    <n v="127"/>
    <n v="106"/>
    <n v="0"/>
    <n v="0"/>
    <n v="39"/>
    <n v="0.19"/>
    <n v="51"/>
    <x v="1"/>
  </r>
  <r>
    <n v="3"/>
    <n v="80"/>
    <n v="82"/>
    <n v="31"/>
    <n v="70"/>
    <n v="34.200000000000003"/>
    <n v="1.292"/>
    <n v="27"/>
    <x v="0"/>
  </r>
  <r>
    <n v="10"/>
    <n v="162"/>
    <n v="84"/>
    <n v="0"/>
    <n v="0"/>
    <n v="27.7"/>
    <n v="0.182"/>
    <n v="54"/>
    <x v="1"/>
  </r>
  <r>
    <n v="1"/>
    <n v="199"/>
    <n v="76"/>
    <n v="43"/>
    <n v="0"/>
    <n v="42.9"/>
    <n v="1.3939999999999999"/>
    <n v="22"/>
    <x v="0"/>
  </r>
  <r>
    <n v="8"/>
    <n v="167"/>
    <n v="106"/>
    <n v="46"/>
    <n v="231"/>
    <n v="37.6"/>
    <n v="0.16500000000000001"/>
    <n v="43"/>
    <x v="0"/>
  </r>
  <r>
    <n v="9"/>
    <n v="145"/>
    <n v="80"/>
    <n v="46"/>
    <n v="130"/>
    <n v="37.9"/>
    <n v="0.63700000000000001"/>
    <n v="40"/>
    <x v="0"/>
  </r>
  <r>
    <n v="6"/>
    <n v="115"/>
    <n v="60"/>
    <n v="39"/>
    <n v="0"/>
    <n v="33.700000000000003"/>
    <n v="0.245"/>
    <n v="40"/>
    <x v="0"/>
  </r>
  <r>
    <n v="1"/>
    <n v="112"/>
    <n v="80"/>
    <n v="45"/>
    <n v="132"/>
    <n v="34.799999999999997"/>
    <n v="0.217"/>
    <n v="24"/>
    <x v="1"/>
  </r>
  <r>
    <n v="4"/>
    <n v="145"/>
    <n v="82"/>
    <n v="18"/>
    <n v="0"/>
    <n v="32.5"/>
    <n v="0.23499999999999999"/>
    <n v="70"/>
    <x v="0"/>
  </r>
  <r>
    <n v="10"/>
    <n v="111"/>
    <n v="70"/>
    <n v="27"/>
    <n v="0"/>
    <n v="27.5"/>
    <n v="0.14099999999999999"/>
    <n v="40"/>
    <x v="0"/>
  </r>
  <r>
    <n v="6"/>
    <n v="98"/>
    <n v="58"/>
    <n v="33"/>
    <n v="190"/>
    <n v="34"/>
    <n v="0.43"/>
    <n v="43"/>
    <x v="1"/>
  </r>
  <r>
    <n v="9"/>
    <n v="154"/>
    <n v="78"/>
    <n v="30"/>
    <n v="100"/>
    <n v="30.9"/>
    <n v="0.16400000000000001"/>
    <n v="45"/>
    <x v="1"/>
  </r>
  <r>
    <n v="6"/>
    <n v="165"/>
    <n v="68"/>
    <n v="26"/>
    <n v="168"/>
    <n v="33.6"/>
    <n v="0.63100000000000001"/>
    <n v="49"/>
    <x v="1"/>
  </r>
  <r>
    <n v="1"/>
    <n v="99"/>
    <n v="58"/>
    <n v="10"/>
    <n v="0"/>
    <n v="25.4"/>
    <n v="0.55100000000000005"/>
    <n v="21"/>
    <x v="1"/>
  </r>
  <r>
    <n v="10"/>
    <n v="68"/>
    <n v="106"/>
    <n v="23"/>
    <n v="49"/>
    <n v="35.5"/>
    <n v="0.28499999999999998"/>
    <n v="47"/>
    <x v="1"/>
  </r>
  <r>
    <n v="3"/>
    <n v="123"/>
    <n v="100"/>
    <n v="35"/>
    <n v="240"/>
    <n v="57.3"/>
    <n v="0.88"/>
    <n v="22"/>
    <x v="1"/>
  </r>
  <r>
    <n v="8"/>
    <n v="91"/>
    <n v="82"/>
    <n v="0"/>
    <n v="0"/>
    <n v="35.6"/>
    <n v="0.58699999999999997"/>
    <n v="68"/>
    <x v="1"/>
  </r>
  <r>
    <n v="6"/>
    <n v="195"/>
    <n v="70"/>
    <n v="0"/>
    <n v="0"/>
    <n v="30.9"/>
    <n v="0.32800000000000001"/>
    <n v="31"/>
    <x v="0"/>
  </r>
  <r>
    <n v="9"/>
    <n v="156"/>
    <n v="86"/>
    <n v="0"/>
    <n v="0"/>
    <n v="24.8"/>
    <n v="0.23"/>
    <n v="53"/>
    <x v="0"/>
  </r>
  <r>
    <n v="0"/>
    <n v="93"/>
    <n v="60"/>
    <n v="0"/>
    <n v="0"/>
    <n v="35.299999999999997"/>
    <n v="0.26300000000000001"/>
    <n v="25"/>
    <x v="1"/>
  </r>
  <r>
    <n v="3"/>
    <n v="121"/>
    <n v="52"/>
    <n v="0"/>
    <n v="0"/>
    <n v="36"/>
    <n v="0.127"/>
    <n v="25"/>
    <x v="0"/>
  </r>
  <r>
    <n v="2"/>
    <n v="101"/>
    <n v="58"/>
    <n v="17"/>
    <n v="265"/>
    <n v="24.2"/>
    <n v="0.61399999999999999"/>
    <n v="23"/>
    <x v="1"/>
  </r>
  <r>
    <n v="2"/>
    <n v="56"/>
    <n v="56"/>
    <n v="28"/>
    <n v="45"/>
    <n v="24.2"/>
    <n v="0.33200000000000002"/>
    <n v="22"/>
    <x v="1"/>
  </r>
  <r>
    <n v="0"/>
    <n v="162"/>
    <n v="76"/>
    <n v="36"/>
    <n v="0"/>
    <n v="49.6"/>
    <n v="0.36399999999999999"/>
    <n v="26"/>
    <x v="0"/>
  </r>
  <r>
    <n v="0"/>
    <n v="95"/>
    <n v="64"/>
    <n v="39"/>
    <n v="105"/>
    <n v="44.6"/>
    <n v="0.36599999999999999"/>
    <n v="22"/>
    <x v="1"/>
  </r>
  <r>
    <n v="4"/>
    <n v="125"/>
    <n v="80"/>
    <n v="0"/>
    <n v="0"/>
    <n v="32.299999999999997"/>
    <n v="0.53600000000000003"/>
    <n v="27"/>
    <x v="0"/>
  </r>
  <r>
    <n v="5"/>
    <n v="136"/>
    <n v="82"/>
    <n v="0"/>
    <n v="0"/>
    <n v="0"/>
    <n v="0.64"/>
    <n v="69"/>
    <x v="1"/>
  </r>
  <r>
    <n v="2"/>
    <n v="129"/>
    <n v="74"/>
    <n v="26"/>
    <n v="205"/>
    <n v="33.200000000000003"/>
    <n v="0.59099999999999997"/>
    <n v="25"/>
    <x v="1"/>
  </r>
  <r>
    <n v="3"/>
    <n v="130"/>
    <n v="64"/>
    <n v="0"/>
    <n v="0"/>
    <n v="23.1"/>
    <n v="0.314"/>
    <n v="22"/>
    <x v="1"/>
  </r>
  <r>
    <n v="1"/>
    <n v="107"/>
    <n v="50"/>
    <n v="19"/>
    <n v="0"/>
    <n v="28.3"/>
    <n v="0.18099999999999999"/>
    <n v="29"/>
    <x v="1"/>
  </r>
  <r>
    <n v="1"/>
    <n v="140"/>
    <n v="74"/>
    <n v="26"/>
    <n v="180"/>
    <n v="24.1"/>
    <n v="0.82799999999999996"/>
    <n v="23"/>
    <x v="1"/>
  </r>
  <r>
    <n v="1"/>
    <n v="144"/>
    <n v="82"/>
    <n v="46"/>
    <n v="180"/>
    <n v="46.1"/>
    <n v="0.33500000000000002"/>
    <n v="46"/>
    <x v="0"/>
  </r>
  <r>
    <n v="8"/>
    <n v="107"/>
    <n v="80"/>
    <n v="0"/>
    <n v="0"/>
    <n v="24.6"/>
    <n v="0.85599999999999998"/>
    <n v="34"/>
    <x v="1"/>
  </r>
  <r>
    <n v="13"/>
    <n v="158"/>
    <n v="114"/>
    <n v="0"/>
    <n v="0"/>
    <n v="42.3"/>
    <n v="0.25700000000000001"/>
    <n v="44"/>
    <x v="0"/>
  </r>
  <r>
    <n v="2"/>
    <n v="121"/>
    <n v="70"/>
    <n v="32"/>
    <n v="95"/>
    <n v="39.1"/>
    <n v="0.88600000000000001"/>
    <n v="23"/>
    <x v="1"/>
  </r>
  <r>
    <n v="7"/>
    <n v="129"/>
    <n v="68"/>
    <n v="49"/>
    <n v="125"/>
    <n v="38.5"/>
    <n v="0.439"/>
    <n v="43"/>
    <x v="0"/>
  </r>
  <r>
    <n v="2"/>
    <n v="90"/>
    <n v="60"/>
    <n v="0"/>
    <n v="0"/>
    <n v="23.5"/>
    <n v="0.191"/>
    <n v="25"/>
    <x v="1"/>
  </r>
  <r>
    <n v="7"/>
    <n v="142"/>
    <n v="90"/>
    <n v="24"/>
    <n v="480"/>
    <n v="30.4"/>
    <n v="0.128"/>
    <n v="43"/>
    <x v="0"/>
  </r>
  <r>
    <n v="3"/>
    <n v="169"/>
    <n v="74"/>
    <n v="19"/>
    <n v="125"/>
    <n v="29.9"/>
    <n v="0.26800000000000002"/>
    <n v="31"/>
    <x v="0"/>
  </r>
  <r>
    <n v="0"/>
    <n v="99"/>
    <n v="0"/>
    <n v="0"/>
    <n v="0"/>
    <n v="25"/>
    <n v="0.253"/>
    <n v="22"/>
    <x v="1"/>
  </r>
  <r>
    <n v="4"/>
    <n v="127"/>
    <n v="88"/>
    <n v="11"/>
    <n v="155"/>
    <n v="34.5"/>
    <n v="0.59799999999999998"/>
    <n v="28"/>
    <x v="1"/>
  </r>
  <r>
    <n v="4"/>
    <n v="118"/>
    <n v="70"/>
    <n v="0"/>
    <n v="0"/>
    <n v="44.5"/>
    <n v="0.90400000000000003"/>
    <n v="26"/>
    <x v="1"/>
  </r>
  <r>
    <n v="2"/>
    <n v="122"/>
    <n v="76"/>
    <n v="27"/>
    <n v="200"/>
    <n v="35.9"/>
    <n v="0.48299999999999998"/>
    <n v="26"/>
    <x v="1"/>
  </r>
  <r>
    <n v="6"/>
    <n v="125"/>
    <n v="78"/>
    <n v="31"/>
    <n v="0"/>
    <n v="27.6"/>
    <n v="0.56499999999999995"/>
    <n v="49"/>
    <x v="0"/>
  </r>
  <r>
    <n v="1"/>
    <n v="168"/>
    <n v="88"/>
    <n v="29"/>
    <n v="0"/>
    <n v="35"/>
    <n v="0.90500000000000003"/>
    <n v="52"/>
    <x v="0"/>
  </r>
  <r>
    <n v="2"/>
    <n v="129"/>
    <n v="0"/>
    <n v="0"/>
    <n v="0"/>
    <n v="38.5"/>
    <n v="0.30399999999999999"/>
    <n v="41"/>
    <x v="1"/>
  </r>
  <r>
    <n v="4"/>
    <n v="110"/>
    <n v="76"/>
    <n v="20"/>
    <n v="100"/>
    <n v="28.4"/>
    <n v="0.11799999999999999"/>
    <n v="27"/>
    <x v="1"/>
  </r>
  <r>
    <n v="6"/>
    <n v="80"/>
    <n v="80"/>
    <n v="36"/>
    <n v="0"/>
    <n v="39.799999999999997"/>
    <n v="0.17699999999999999"/>
    <n v="28"/>
    <x v="1"/>
  </r>
  <r>
    <n v="10"/>
    <n v="115"/>
    <n v="0"/>
    <n v="0"/>
    <n v="0"/>
    <n v="0"/>
    <n v="0.26100000000000001"/>
    <n v="30"/>
    <x v="0"/>
  </r>
  <r>
    <n v="2"/>
    <n v="127"/>
    <n v="46"/>
    <n v="21"/>
    <n v="335"/>
    <n v="34.4"/>
    <n v="0.17599999999999999"/>
    <n v="22"/>
    <x v="1"/>
  </r>
  <r>
    <n v="9"/>
    <n v="164"/>
    <n v="78"/>
    <n v="0"/>
    <n v="0"/>
    <n v="32.799999999999997"/>
    <n v="0.14799999999999999"/>
    <n v="45"/>
    <x v="0"/>
  </r>
  <r>
    <n v="2"/>
    <n v="93"/>
    <n v="64"/>
    <n v="32"/>
    <n v="160"/>
    <n v="38"/>
    <n v="0.67400000000000004"/>
    <n v="23"/>
    <x v="0"/>
  </r>
  <r>
    <n v="3"/>
    <n v="158"/>
    <n v="64"/>
    <n v="13"/>
    <n v="387"/>
    <n v="31.2"/>
    <n v="0.29499999999999998"/>
    <n v="24"/>
    <x v="1"/>
  </r>
  <r>
    <n v="5"/>
    <n v="126"/>
    <n v="78"/>
    <n v="27"/>
    <n v="22"/>
    <n v="29.6"/>
    <n v="0.439"/>
    <n v="40"/>
    <x v="1"/>
  </r>
  <r>
    <n v="10"/>
    <n v="129"/>
    <n v="62"/>
    <n v="36"/>
    <n v="0"/>
    <n v="41.2"/>
    <n v="0.441"/>
    <n v="38"/>
    <x v="0"/>
  </r>
  <r>
    <n v="0"/>
    <n v="134"/>
    <n v="58"/>
    <n v="20"/>
    <n v="291"/>
    <n v="26.4"/>
    <n v="0.35199999999999998"/>
    <n v="21"/>
    <x v="1"/>
  </r>
  <r>
    <n v="3"/>
    <n v="102"/>
    <n v="74"/>
    <n v="0"/>
    <n v="0"/>
    <n v="29.5"/>
    <n v="0.121"/>
    <n v="32"/>
    <x v="1"/>
  </r>
  <r>
    <n v="7"/>
    <n v="187"/>
    <n v="50"/>
    <n v="33"/>
    <n v="392"/>
    <n v="33.9"/>
    <n v="0.82599999999999996"/>
    <n v="34"/>
    <x v="0"/>
  </r>
  <r>
    <n v="3"/>
    <n v="173"/>
    <n v="78"/>
    <n v="39"/>
    <n v="185"/>
    <n v="33.799999999999997"/>
    <n v="0.97"/>
    <n v="31"/>
    <x v="0"/>
  </r>
  <r>
    <n v="10"/>
    <n v="94"/>
    <n v="72"/>
    <n v="18"/>
    <n v="0"/>
    <n v="23.1"/>
    <n v="0.59499999999999997"/>
    <n v="56"/>
    <x v="1"/>
  </r>
  <r>
    <n v="1"/>
    <n v="108"/>
    <n v="60"/>
    <n v="46"/>
    <n v="178"/>
    <n v="35.5"/>
    <n v="0.41499999999999998"/>
    <n v="24"/>
    <x v="1"/>
  </r>
  <r>
    <n v="5"/>
    <n v="97"/>
    <n v="76"/>
    <n v="27"/>
    <n v="0"/>
    <n v="35.6"/>
    <n v="0.378"/>
    <n v="52"/>
    <x v="0"/>
  </r>
  <r>
    <n v="4"/>
    <n v="83"/>
    <n v="86"/>
    <n v="19"/>
    <n v="0"/>
    <n v="29.3"/>
    <n v="0.317"/>
    <n v="34"/>
    <x v="1"/>
  </r>
  <r>
    <n v="1"/>
    <n v="114"/>
    <n v="66"/>
    <n v="36"/>
    <n v="200"/>
    <n v="38.1"/>
    <n v="0.28899999999999998"/>
    <n v="21"/>
    <x v="1"/>
  </r>
  <r>
    <n v="1"/>
    <n v="149"/>
    <n v="68"/>
    <n v="29"/>
    <n v="127"/>
    <n v="29.3"/>
    <n v="0.34899999999999998"/>
    <n v="42"/>
    <x v="0"/>
  </r>
  <r>
    <n v="5"/>
    <n v="117"/>
    <n v="86"/>
    <n v="30"/>
    <n v="105"/>
    <n v="39.1"/>
    <n v="0.251"/>
    <n v="42"/>
    <x v="1"/>
  </r>
  <r>
    <n v="1"/>
    <n v="111"/>
    <n v="94"/>
    <n v="0"/>
    <n v="0"/>
    <n v="32.799999999999997"/>
    <n v="0.26500000000000001"/>
    <n v="45"/>
    <x v="1"/>
  </r>
  <r>
    <n v="4"/>
    <n v="112"/>
    <n v="78"/>
    <n v="40"/>
    <n v="0"/>
    <n v="39.4"/>
    <n v="0.23599999999999999"/>
    <n v="38"/>
    <x v="1"/>
  </r>
  <r>
    <n v="1"/>
    <n v="116"/>
    <n v="78"/>
    <n v="29"/>
    <n v="180"/>
    <n v="36.1"/>
    <n v="0.496"/>
    <n v="25"/>
    <x v="1"/>
  </r>
  <r>
    <n v="0"/>
    <n v="141"/>
    <n v="84"/>
    <n v="26"/>
    <n v="0"/>
    <n v="32.4"/>
    <n v="0.433"/>
    <n v="22"/>
    <x v="1"/>
  </r>
  <r>
    <n v="2"/>
    <n v="175"/>
    <n v="88"/>
    <n v="0"/>
    <n v="0"/>
    <n v="22.9"/>
    <n v="0.32600000000000001"/>
    <n v="22"/>
    <x v="1"/>
  </r>
  <r>
    <n v="2"/>
    <n v="92"/>
    <n v="52"/>
    <n v="0"/>
    <n v="0"/>
    <n v="30.1"/>
    <n v="0.14099999999999999"/>
    <n v="22"/>
    <x v="1"/>
  </r>
  <r>
    <n v="3"/>
    <n v="130"/>
    <n v="78"/>
    <n v="23"/>
    <n v="79"/>
    <n v="28.4"/>
    <n v="0.32300000000000001"/>
    <n v="34"/>
    <x v="0"/>
  </r>
  <r>
    <n v="8"/>
    <n v="120"/>
    <n v="86"/>
    <n v="0"/>
    <n v="0"/>
    <n v="28.4"/>
    <n v="0.25900000000000001"/>
    <n v="22"/>
    <x v="0"/>
  </r>
  <r>
    <n v="2"/>
    <n v="174"/>
    <n v="88"/>
    <n v="37"/>
    <n v="120"/>
    <n v="44.5"/>
    <n v="0.64600000000000002"/>
    <n v="24"/>
    <x v="0"/>
  </r>
  <r>
    <n v="2"/>
    <n v="106"/>
    <n v="56"/>
    <n v="27"/>
    <n v="165"/>
    <n v="29"/>
    <n v="0.42599999999999999"/>
    <n v="22"/>
    <x v="1"/>
  </r>
  <r>
    <n v="2"/>
    <n v="105"/>
    <n v="75"/>
    <n v="0"/>
    <n v="0"/>
    <n v="23.3"/>
    <n v="0.56000000000000005"/>
    <n v="53"/>
    <x v="1"/>
  </r>
  <r>
    <n v="4"/>
    <n v="95"/>
    <n v="60"/>
    <n v="32"/>
    <n v="0"/>
    <n v="35.4"/>
    <n v="0.28399999999999997"/>
    <n v="28"/>
    <x v="1"/>
  </r>
  <r>
    <n v="0"/>
    <n v="126"/>
    <n v="86"/>
    <n v="27"/>
    <n v="120"/>
    <n v="27.4"/>
    <n v="0.51500000000000001"/>
    <n v="21"/>
    <x v="1"/>
  </r>
  <r>
    <n v="8"/>
    <n v="65"/>
    <n v="72"/>
    <n v="23"/>
    <n v="0"/>
    <n v="32"/>
    <n v="0.6"/>
    <n v="42"/>
    <x v="1"/>
  </r>
  <r>
    <n v="2"/>
    <n v="99"/>
    <n v="60"/>
    <n v="17"/>
    <n v="160"/>
    <n v="36.6"/>
    <n v="0.45300000000000001"/>
    <n v="21"/>
    <x v="1"/>
  </r>
  <r>
    <n v="1"/>
    <n v="102"/>
    <n v="74"/>
    <n v="0"/>
    <n v="0"/>
    <n v="39.5"/>
    <n v="0.29299999999999998"/>
    <n v="42"/>
    <x v="0"/>
  </r>
  <r>
    <n v="11"/>
    <n v="120"/>
    <n v="80"/>
    <n v="37"/>
    <n v="150"/>
    <n v="42.3"/>
    <n v="0.78500000000000003"/>
    <n v="48"/>
    <x v="0"/>
  </r>
  <r>
    <n v="3"/>
    <n v="102"/>
    <n v="44"/>
    <n v="20"/>
    <n v="94"/>
    <n v="30.8"/>
    <n v="0.4"/>
    <n v="26"/>
    <x v="1"/>
  </r>
  <r>
    <n v="1"/>
    <n v="109"/>
    <n v="58"/>
    <n v="18"/>
    <n v="116"/>
    <n v="28.5"/>
    <n v="0.219"/>
    <n v="22"/>
    <x v="1"/>
  </r>
  <r>
    <n v="9"/>
    <n v="140"/>
    <n v="94"/>
    <n v="0"/>
    <n v="0"/>
    <n v="32.700000000000003"/>
    <n v="0.73399999999999999"/>
    <n v="45"/>
    <x v="0"/>
  </r>
  <r>
    <n v="13"/>
    <n v="153"/>
    <n v="88"/>
    <n v="37"/>
    <n v="140"/>
    <n v="40.6"/>
    <n v="1.1739999999999999"/>
    <n v="39"/>
    <x v="1"/>
  </r>
  <r>
    <n v="12"/>
    <n v="100"/>
    <n v="84"/>
    <n v="33"/>
    <n v="105"/>
    <n v="30"/>
    <n v="0.48799999999999999"/>
    <n v="46"/>
    <x v="1"/>
  </r>
  <r>
    <n v="1"/>
    <n v="147"/>
    <n v="94"/>
    <n v="41"/>
    <n v="0"/>
    <n v="49.3"/>
    <n v="0.35799999999999998"/>
    <n v="27"/>
    <x v="0"/>
  </r>
  <r>
    <n v="1"/>
    <n v="81"/>
    <n v="74"/>
    <n v="41"/>
    <n v="57"/>
    <n v="46.3"/>
    <n v="1.0960000000000001"/>
    <n v="32"/>
    <x v="1"/>
  </r>
  <r>
    <n v="3"/>
    <n v="187"/>
    <n v="70"/>
    <n v="22"/>
    <n v="200"/>
    <n v="36.4"/>
    <n v="0.40799999999999997"/>
    <n v="36"/>
    <x v="0"/>
  </r>
  <r>
    <n v="6"/>
    <n v="162"/>
    <n v="62"/>
    <n v="0"/>
    <n v="0"/>
    <n v="24.3"/>
    <n v="0.17799999999999999"/>
    <n v="50"/>
    <x v="0"/>
  </r>
  <r>
    <n v="4"/>
    <n v="136"/>
    <n v="70"/>
    <n v="0"/>
    <n v="0"/>
    <n v="31.2"/>
    <n v="1.1819999999999999"/>
    <n v="22"/>
    <x v="0"/>
  </r>
  <r>
    <n v="1"/>
    <n v="121"/>
    <n v="78"/>
    <n v="39"/>
    <n v="74"/>
    <n v="39"/>
    <n v="0.26100000000000001"/>
    <n v="28"/>
    <x v="1"/>
  </r>
  <r>
    <n v="3"/>
    <n v="108"/>
    <n v="62"/>
    <n v="24"/>
    <n v="0"/>
    <n v="26"/>
    <n v="0.223"/>
    <n v="25"/>
    <x v="1"/>
  </r>
  <r>
    <n v="0"/>
    <n v="181"/>
    <n v="88"/>
    <n v="44"/>
    <n v="510"/>
    <n v="43.3"/>
    <n v="0.222"/>
    <n v="26"/>
    <x v="0"/>
  </r>
  <r>
    <n v="8"/>
    <n v="154"/>
    <n v="78"/>
    <n v="32"/>
    <n v="0"/>
    <n v="32.4"/>
    <n v="0.443"/>
    <n v="45"/>
    <x v="0"/>
  </r>
  <r>
    <n v="1"/>
    <n v="128"/>
    <n v="88"/>
    <n v="39"/>
    <n v="110"/>
    <n v="36.5"/>
    <n v="1.0569999999999999"/>
    <n v="37"/>
    <x v="0"/>
  </r>
  <r>
    <n v="7"/>
    <n v="137"/>
    <n v="90"/>
    <n v="41"/>
    <n v="0"/>
    <n v="32"/>
    <n v="0.39100000000000001"/>
    <n v="39"/>
    <x v="1"/>
  </r>
  <r>
    <n v="0"/>
    <n v="123"/>
    <n v="72"/>
    <n v="0"/>
    <n v="0"/>
    <n v="36.299999999999997"/>
    <n v="0.25800000000000001"/>
    <n v="52"/>
    <x v="0"/>
  </r>
  <r>
    <n v="1"/>
    <n v="106"/>
    <n v="76"/>
    <n v="0"/>
    <n v="0"/>
    <n v="37.5"/>
    <n v="0.19700000000000001"/>
    <n v="26"/>
    <x v="1"/>
  </r>
  <r>
    <n v="6"/>
    <n v="190"/>
    <n v="92"/>
    <n v="0"/>
    <n v="0"/>
    <n v="35.5"/>
    <n v="0.27800000000000002"/>
    <n v="66"/>
    <x v="0"/>
  </r>
  <r>
    <n v="2"/>
    <n v="88"/>
    <n v="58"/>
    <n v="26"/>
    <n v="16"/>
    <n v="28.4"/>
    <n v="0.76600000000000001"/>
    <n v="22"/>
    <x v="1"/>
  </r>
  <r>
    <n v="9"/>
    <n v="170"/>
    <n v="74"/>
    <n v="31"/>
    <n v="0"/>
    <n v="44"/>
    <n v="0.40300000000000002"/>
    <n v="43"/>
    <x v="0"/>
  </r>
  <r>
    <n v="9"/>
    <n v="89"/>
    <n v="62"/>
    <n v="0"/>
    <n v="0"/>
    <n v="22.5"/>
    <n v="0.14199999999999999"/>
    <n v="33"/>
    <x v="1"/>
  </r>
  <r>
    <n v="10"/>
    <n v="101"/>
    <n v="76"/>
    <n v="48"/>
    <n v="180"/>
    <n v="32.9"/>
    <n v="0.17100000000000001"/>
    <n v="63"/>
    <x v="1"/>
  </r>
  <r>
    <n v="2"/>
    <n v="122"/>
    <n v="70"/>
    <n v="27"/>
    <n v="0"/>
    <n v="36.799999999999997"/>
    <n v="0.34"/>
    <n v="27"/>
    <x v="1"/>
  </r>
  <r>
    <n v="5"/>
    <n v="121"/>
    <n v="72"/>
    <n v="23"/>
    <n v="112"/>
    <n v="26.2"/>
    <n v="0.245"/>
    <n v="30"/>
    <x v="1"/>
  </r>
  <r>
    <n v="1"/>
    <n v="126"/>
    <n v="60"/>
    <n v="0"/>
    <n v="0"/>
    <n v="30.1"/>
    <n v="0.34899999999999998"/>
    <n v="47"/>
    <x v="0"/>
  </r>
  <r>
    <n v="1"/>
    <n v="93"/>
    <n v="70"/>
    <n v="31"/>
    <n v="0"/>
    <n v="30.4"/>
    <n v="0.315"/>
    <n v="2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74A9D-96E8-414A-9B77-D764A39EFE9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6" firstHeaderRow="0" firstDataRow="1" firstDataCol="1"/>
  <pivotFields count="9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Pregnancies" fld="0" baseField="0" baseItem="0"/>
    <dataField name="Sum of Glucose" fld="1" baseField="0" baseItem="0"/>
    <dataField name="Sum of BloodPressure" fld="2" baseField="0" baseItem="0"/>
    <dataField name="Sum of SkinThickness" fld="3" baseField="0" baseItem="0"/>
    <dataField name="Sum of Insulin" fld="4" baseField="0" baseItem="0"/>
    <dataField name="Sum of BMI" fld="5" baseField="0" baseItem="0"/>
    <dataField name="Sum of DiabetesPedigreeFunction" fld="6" baseField="0" baseItem="0"/>
    <dataField name="Sum of Ag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8B2160-5E6B-45E6-B357-F983DE8B18E1}" name="Pima" displayName="Pima" ref="A1:I769" totalsRowShown="0">
  <autoFilter ref="A1:I769" xr:uid="{0A8B2160-5E6B-45E6-B357-F983DE8B18E1}"/>
  <tableColumns count="9">
    <tableColumn id="1" xr3:uid="{2B07F2CD-4224-4EBB-A27D-781B82989ADD}" name="Pregnancies"/>
    <tableColumn id="2" xr3:uid="{8C303B2E-F2D5-4E55-9F74-115BE0A77604}" name="Glucose"/>
    <tableColumn id="3" xr3:uid="{F09C0DA0-1229-426D-B6F7-E8BF7F3BD460}" name="BloodPressure"/>
    <tableColumn id="4" xr3:uid="{061E54E8-0F01-4C78-9027-96DF54E0A3EB}" name="SkinThickness"/>
    <tableColumn id="5" xr3:uid="{36A543B4-FFC1-4322-B3D4-10861122731B}" name="Insulin"/>
    <tableColumn id="6" xr3:uid="{B1E5920F-ACFB-47D2-AB6D-B424F02BB00A}" name="BMI"/>
    <tableColumn id="7" xr3:uid="{73A9C993-AF08-4F34-BE76-6B9FED21D002}" name="DiabetesPedigreeFunction"/>
    <tableColumn id="8" xr3:uid="{51351B0E-31A2-41F7-A254-A3A6E4024A6E}" name="Age"/>
    <tableColumn id="9" xr3:uid="{E7A21062-7233-43F8-B974-43DDEDF6C110}" name="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4F95-B226-44A0-B92E-C3F82A6F07D6}">
  <sheetPr codeName="Sheet1"/>
  <dimension ref="A1:P15"/>
  <sheetViews>
    <sheetView workbookViewId="0">
      <selection activeCell="J20" sqref="I20:J20"/>
    </sheetView>
  </sheetViews>
  <sheetFormatPr defaultRowHeight="14.4"/>
  <cols>
    <col min="1" max="1" width="28.109375" customWidth="1"/>
  </cols>
  <sheetData>
    <row r="1" spans="1:16">
      <c r="A1" s="2">
        <v>6</v>
      </c>
      <c r="B1" s="2"/>
      <c r="C1" s="2">
        <v>148</v>
      </c>
      <c r="D1" s="2"/>
      <c r="E1" s="2">
        <v>72</v>
      </c>
      <c r="F1" s="2"/>
      <c r="G1" s="2">
        <v>35</v>
      </c>
      <c r="H1" s="2"/>
      <c r="I1" s="2">
        <v>0</v>
      </c>
      <c r="J1" s="2"/>
      <c r="K1" s="2">
        <v>33.6</v>
      </c>
      <c r="L1" s="2"/>
      <c r="M1" s="2">
        <v>0.627</v>
      </c>
      <c r="N1" s="2"/>
      <c r="O1" s="2">
        <v>50</v>
      </c>
      <c r="P1" s="2"/>
    </row>
    <row r="3" spans="1:16">
      <c r="A3" t="s">
        <v>9</v>
      </c>
      <c r="B3">
        <v>3.8422425032594525</v>
      </c>
      <c r="C3" t="s">
        <v>9</v>
      </c>
      <c r="D3">
        <v>120.85919165580182</v>
      </c>
      <c r="E3" t="s">
        <v>9</v>
      </c>
      <c r="F3">
        <v>69.101694915254242</v>
      </c>
      <c r="G3" t="s">
        <v>9</v>
      </c>
      <c r="H3">
        <v>20.517601043024772</v>
      </c>
      <c r="I3" t="s">
        <v>9</v>
      </c>
      <c r="J3">
        <v>79.903520208604959</v>
      </c>
      <c r="K3" t="s">
        <v>9</v>
      </c>
      <c r="L3">
        <v>31.990482398956953</v>
      </c>
      <c r="M3" t="s">
        <v>9</v>
      </c>
      <c r="N3">
        <v>0.47167405475879992</v>
      </c>
      <c r="O3" t="s">
        <v>9</v>
      </c>
      <c r="P3">
        <v>33.219035202086047</v>
      </c>
    </row>
    <row r="4" spans="1:16">
      <c r="A4" t="s">
        <v>10</v>
      </c>
      <c r="B4">
        <v>0.1217152968333489</v>
      </c>
      <c r="C4" t="s">
        <v>10</v>
      </c>
      <c r="D4">
        <v>1.1546755724768554</v>
      </c>
      <c r="E4" t="s">
        <v>10</v>
      </c>
      <c r="F4">
        <v>0.69934353169952357</v>
      </c>
      <c r="G4" t="s">
        <v>10</v>
      </c>
      <c r="H4">
        <v>0.57606768455521074</v>
      </c>
      <c r="I4" t="s">
        <v>10</v>
      </c>
      <c r="J4">
        <v>4.1626316666554919</v>
      </c>
      <c r="K4" t="s">
        <v>10</v>
      </c>
      <c r="L4">
        <v>0.28485856242480234</v>
      </c>
      <c r="M4" t="s">
        <v>10</v>
      </c>
      <c r="N4">
        <v>1.1969675763372481E-2</v>
      </c>
      <c r="O4" t="s">
        <v>10</v>
      </c>
      <c r="P4">
        <v>0.424350799215234</v>
      </c>
    </row>
    <row r="5" spans="1:16">
      <c r="A5" t="s">
        <v>11</v>
      </c>
      <c r="B5">
        <v>3</v>
      </c>
      <c r="C5" t="s">
        <v>11</v>
      </c>
      <c r="D5">
        <v>117</v>
      </c>
      <c r="E5" t="s">
        <v>11</v>
      </c>
      <c r="F5">
        <v>72</v>
      </c>
      <c r="G5" t="s">
        <v>11</v>
      </c>
      <c r="H5">
        <v>23</v>
      </c>
      <c r="I5" t="s">
        <v>11</v>
      </c>
      <c r="J5">
        <v>32</v>
      </c>
      <c r="K5" t="s">
        <v>11</v>
      </c>
      <c r="L5">
        <v>32</v>
      </c>
      <c r="M5" t="s">
        <v>11</v>
      </c>
      <c r="N5">
        <v>0.371</v>
      </c>
      <c r="O5" t="s">
        <v>11</v>
      </c>
      <c r="P5">
        <v>29</v>
      </c>
    </row>
    <row r="6" spans="1:16">
      <c r="A6" t="s">
        <v>12</v>
      </c>
      <c r="B6">
        <v>1</v>
      </c>
      <c r="C6" t="s">
        <v>12</v>
      </c>
      <c r="D6">
        <v>100</v>
      </c>
      <c r="E6" t="s">
        <v>12</v>
      </c>
      <c r="F6">
        <v>70</v>
      </c>
      <c r="G6" t="s">
        <v>12</v>
      </c>
      <c r="H6">
        <v>0</v>
      </c>
      <c r="I6" t="s">
        <v>12</v>
      </c>
      <c r="J6">
        <v>0</v>
      </c>
      <c r="K6" t="s">
        <v>12</v>
      </c>
      <c r="L6">
        <v>32</v>
      </c>
      <c r="M6" t="s">
        <v>12</v>
      </c>
      <c r="N6">
        <v>0.254</v>
      </c>
      <c r="O6" t="s">
        <v>12</v>
      </c>
      <c r="P6">
        <v>22</v>
      </c>
    </row>
    <row r="7" spans="1:16">
      <c r="A7" t="s">
        <v>13</v>
      </c>
      <c r="B7">
        <v>3.3708765242348449</v>
      </c>
      <c r="C7" t="s">
        <v>13</v>
      </c>
      <c r="D7">
        <v>31.978468455767796</v>
      </c>
      <c r="E7" t="s">
        <v>13</v>
      </c>
      <c r="F7">
        <v>19.368154658564695</v>
      </c>
      <c r="G7" t="s">
        <v>13</v>
      </c>
      <c r="H7">
        <v>15.954059060433835</v>
      </c>
      <c r="I7" t="s">
        <v>13</v>
      </c>
      <c r="J7">
        <v>115.28310515791306</v>
      </c>
      <c r="K7" t="s">
        <v>13</v>
      </c>
      <c r="L7">
        <v>7.8890909013661448</v>
      </c>
      <c r="M7" t="s">
        <v>13</v>
      </c>
      <c r="N7">
        <v>0.33149735557642757</v>
      </c>
      <c r="O7" t="s">
        <v>13</v>
      </c>
      <c r="P7">
        <v>11.7522955974339</v>
      </c>
    </row>
    <row r="8" spans="1:16">
      <c r="A8" t="s">
        <v>14</v>
      </c>
      <c r="B8">
        <v>11.362808541637589</v>
      </c>
      <c r="C8" t="s">
        <v>14</v>
      </c>
      <c r="D8">
        <v>1022.6224447765361</v>
      </c>
      <c r="E8" t="s">
        <v>14</v>
      </c>
      <c r="F8">
        <v>375.1254148780813</v>
      </c>
      <c r="G8" t="s">
        <v>14</v>
      </c>
      <c r="H8">
        <v>254.53200050381093</v>
      </c>
      <c r="I8" t="s">
        <v>14</v>
      </c>
      <c r="J8">
        <v>13290.194334850439</v>
      </c>
      <c r="K8" t="s">
        <v>14</v>
      </c>
      <c r="L8">
        <v>62.237755250018097</v>
      </c>
      <c r="M8" t="s">
        <v>14</v>
      </c>
      <c r="N8">
        <v>0.10989049675416444</v>
      </c>
      <c r="O8" t="s">
        <v>14</v>
      </c>
      <c r="P8">
        <v>138.11645180946422</v>
      </c>
    </row>
    <row r="9" spans="1:16">
      <c r="A9" t="s">
        <v>15</v>
      </c>
      <c r="B9">
        <v>0.16129262778169107</v>
      </c>
      <c r="C9" t="s">
        <v>15</v>
      </c>
      <c r="D9">
        <v>0.64299183149836603</v>
      </c>
      <c r="E9" t="s">
        <v>15</v>
      </c>
      <c r="F9">
        <v>5.1685779769635118</v>
      </c>
      <c r="G9" t="s">
        <v>15</v>
      </c>
      <c r="H9">
        <v>-0.51832529963069351</v>
      </c>
      <c r="I9" t="s">
        <v>15</v>
      </c>
      <c r="J9">
        <v>7.2052664557436774</v>
      </c>
      <c r="K9" t="s">
        <v>15</v>
      </c>
      <c r="L9">
        <v>3.2824983973797219</v>
      </c>
      <c r="M9" t="s">
        <v>15</v>
      </c>
      <c r="N9">
        <v>5.593373852734743</v>
      </c>
      <c r="O9" t="s">
        <v>15</v>
      </c>
      <c r="P9">
        <v>0.66087184856797565</v>
      </c>
    </row>
    <row r="10" spans="1:16">
      <c r="A10" t="s">
        <v>16</v>
      </c>
      <c r="B10">
        <v>0.90397626435568834</v>
      </c>
      <c r="C10" t="s">
        <v>16</v>
      </c>
      <c r="D10">
        <v>0.17641236225612394</v>
      </c>
      <c r="E10" t="s">
        <v>16</v>
      </c>
      <c r="F10">
        <v>-1.8419110171756523</v>
      </c>
      <c r="G10" t="s">
        <v>16</v>
      </c>
      <c r="H10">
        <v>0.11205768155480825</v>
      </c>
      <c r="I10" t="s">
        <v>16</v>
      </c>
      <c r="J10">
        <v>2.2706301676870657</v>
      </c>
      <c r="K10" t="s">
        <v>16</v>
      </c>
      <c r="L10">
        <v>-0.42795024761577771</v>
      </c>
      <c r="M10" t="s">
        <v>16</v>
      </c>
      <c r="N10">
        <v>1.9211904511620697</v>
      </c>
      <c r="O10" t="s">
        <v>16</v>
      </c>
      <c r="P10">
        <v>1.1351646947682954</v>
      </c>
    </row>
    <row r="11" spans="1:16">
      <c r="A11" t="s">
        <v>17</v>
      </c>
      <c r="B11">
        <v>17</v>
      </c>
      <c r="C11" t="s">
        <v>17</v>
      </c>
      <c r="D11">
        <v>199</v>
      </c>
      <c r="E11" t="s">
        <v>17</v>
      </c>
      <c r="F11">
        <v>122</v>
      </c>
      <c r="G11" t="s">
        <v>17</v>
      </c>
      <c r="H11">
        <v>99</v>
      </c>
      <c r="I11" t="s">
        <v>17</v>
      </c>
      <c r="J11">
        <v>846</v>
      </c>
      <c r="K11" t="s">
        <v>17</v>
      </c>
      <c r="L11">
        <v>67.099999999999994</v>
      </c>
      <c r="M11" t="s">
        <v>17</v>
      </c>
      <c r="N11">
        <v>2.3420000000000001</v>
      </c>
      <c r="O11" t="s">
        <v>17</v>
      </c>
      <c r="P11">
        <v>60</v>
      </c>
    </row>
    <row r="12" spans="1:16">
      <c r="A12" t="s">
        <v>18</v>
      </c>
      <c r="B12">
        <v>0</v>
      </c>
      <c r="C12" t="s">
        <v>18</v>
      </c>
      <c r="D12">
        <v>0</v>
      </c>
      <c r="E12" t="s">
        <v>18</v>
      </c>
      <c r="F12">
        <v>0</v>
      </c>
      <c r="G12" t="s">
        <v>18</v>
      </c>
      <c r="H12">
        <v>0</v>
      </c>
      <c r="I12" t="s">
        <v>18</v>
      </c>
      <c r="J12">
        <v>0</v>
      </c>
      <c r="K12" t="s">
        <v>18</v>
      </c>
      <c r="L12">
        <v>0</v>
      </c>
      <c r="M12" t="s">
        <v>18</v>
      </c>
      <c r="N12">
        <v>7.8E-2</v>
      </c>
      <c r="O12" t="s">
        <v>18</v>
      </c>
      <c r="P12">
        <v>21</v>
      </c>
    </row>
    <row r="13" spans="1:16">
      <c r="A13" t="s">
        <v>19</v>
      </c>
      <c r="B13">
        <v>17</v>
      </c>
      <c r="C13" t="s">
        <v>19</v>
      </c>
      <c r="D13">
        <v>199</v>
      </c>
      <c r="E13" t="s">
        <v>19</v>
      </c>
      <c r="F13">
        <v>122</v>
      </c>
      <c r="G13" t="s">
        <v>19</v>
      </c>
      <c r="H13">
        <v>99</v>
      </c>
      <c r="I13" t="s">
        <v>19</v>
      </c>
      <c r="J13">
        <v>846</v>
      </c>
      <c r="K13" t="s">
        <v>19</v>
      </c>
      <c r="L13">
        <v>67.099999999999994</v>
      </c>
      <c r="M13" t="s">
        <v>19</v>
      </c>
      <c r="N13">
        <v>2.42</v>
      </c>
      <c r="O13" t="s">
        <v>19</v>
      </c>
      <c r="P13">
        <v>81</v>
      </c>
    </row>
    <row r="14" spans="1:16">
      <c r="A14" t="s">
        <v>20</v>
      </c>
      <c r="B14">
        <v>2947</v>
      </c>
      <c r="C14" t="s">
        <v>20</v>
      </c>
      <c r="D14">
        <v>92699</v>
      </c>
      <c r="E14" t="s">
        <v>20</v>
      </c>
      <c r="F14">
        <v>53001</v>
      </c>
      <c r="G14" t="s">
        <v>20</v>
      </c>
      <c r="H14">
        <v>15737</v>
      </c>
      <c r="I14" t="s">
        <v>20</v>
      </c>
      <c r="J14">
        <v>61286</v>
      </c>
      <c r="K14" t="s">
        <v>20</v>
      </c>
      <c r="L14">
        <v>24536.699999999983</v>
      </c>
      <c r="M14" t="s">
        <v>20</v>
      </c>
      <c r="N14">
        <v>361.77399999999955</v>
      </c>
      <c r="O14" t="s">
        <v>20</v>
      </c>
      <c r="P14">
        <v>25479</v>
      </c>
    </row>
    <row r="15" spans="1:16" ht="15" thickBot="1">
      <c r="A15" s="1" t="s">
        <v>21</v>
      </c>
      <c r="B15" s="1">
        <v>767</v>
      </c>
      <c r="C15" s="1" t="s">
        <v>21</v>
      </c>
      <c r="D15" s="1">
        <v>767</v>
      </c>
      <c r="E15" s="1" t="s">
        <v>21</v>
      </c>
      <c r="F15" s="1">
        <v>767</v>
      </c>
      <c r="G15" s="1" t="s">
        <v>21</v>
      </c>
      <c r="H15" s="1">
        <v>767</v>
      </c>
      <c r="I15" s="1" t="s">
        <v>21</v>
      </c>
      <c r="J15" s="1">
        <v>767</v>
      </c>
      <c r="K15" s="1" t="s">
        <v>21</v>
      </c>
      <c r="L15" s="1">
        <v>767</v>
      </c>
      <c r="M15" s="1" t="s">
        <v>21</v>
      </c>
      <c r="N15" s="1">
        <v>767</v>
      </c>
      <c r="O15" s="1" t="s">
        <v>21</v>
      </c>
      <c r="P15" s="1">
        <v>767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9DF2-91C9-4263-897D-EDFB4611BA89}">
  <dimension ref="A3:I6"/>
  <sheetViews>
    <sheetView tabSelected="1" workbookViewId="0">
      <selection activeCell="A3" sqref="A3"/>
    </sheetView>
  </sheetViews>
  <sheetFormatPr defaultRowHeight="14.4"/>
  <cols>
    <col min="1" max="1" width="12.44140625" bestFit="1" customWidth="1"/>
    <col min="2" max="2" width="17.33203125" bestFit="1" customWidth="1"/>
    <col min="3" max="3" width="13.88671875" bestFit="1" customWidth="1"/>
    <col min="4" max="4" width="19.21875" bestFit="1" customWidth="1"/>
    <col min="5" max="5" width="19.109375" bestFit="1" customWidth="1"/>
    <col min="6" max="6" width="12.5546875" bestFit="1" customWidth="1"/>
    <col min="7" max="7" width="10.109375" bestFit="1" customWidth="1"/>
    <col min="8" max="8" width="29.5546875" bestFit="1" customWidth="1"/>
    <col min="9" max="9" width="10" bestFit="1" customWidth="1"/>
  </cols>
  <sheetData>
    <row r="3" spans="1:9">
      <c r="A3" s="8" t="s">
        <v>49</v>
      </c>
      <c r="B3" t="s">
        <v>54</v>
      </c>
      <c r="C3" t="s">
        <v>51</v>
      </c>
      <c r="D3" t="s">
        <v>52</v>
      </c>
      <c r="E3" t="s">
        <v>53</v>
      </c>
      <c r="F3" t="s">
        <v>55</v>
      </c>
      <c r="G3" t="s">
        <v>56</v>
      </c>
      <c r="H3" t="s">
        <v>57</v>
      </c>
      <c r="I3" t="s">
        <v>58</v>
      </c>
    </row>
    <row r="4" spans="1:9">
      <c r="A4" s="9">
        <v>0</v>
      </c>
      <c r="B4" s="10">
        <v>1649</v>
      </c>
      <c r="C4" s="10">
        <v>54990</v>
      </c>
      <c r="D4" s="10">
        <v>34092</v>
      </c>
      <c r="E4" s="10">
        <v>9832</v>
      </c>
      <c r="F4" s="10">
        <v>34396</v>
      </c>
      <c r="G4" s="10">
        <v>15152.09999999998</v>
      </c>
      <c r="H4" s="10">
        <v>214.86700000000008</v>
      </c>
      <c r="I4" s="10">
        <v>15595</v>
      </c>
    </row>
    <row r="5" spans="1:9">
      <c r="A5" s="9">
        <v>1</v>
      </c>
      <c r="B5" s="10">
        <v>1304</v>
      </c>
      <c r="C5" s="10">
        <v>37857</v>
      </c>
      <c r="D5" s="10">
        <v>18981</v>
      </c>
      <c r="E5" s="10">
        <v>5940</v>
      </c>
      <c r="F5" s="10">
        <v>26890</v>
      </c>
      <c r="G5" s="10">
        <v>9418.1999999999862</v>
      </c>
      <c r="H5" s="10">
        <v>147.53399999999999</v>
      </c>
      <c r="I5" s="10">
        <v>9934</v>
      </c>
    </row>
    <row r="6" spans="1:9">
      <c r="A6" s="9" t="s">
        <v>50</v>
      </c>
      <c r="B6" s="10">
        <v>2953</v>
      </c>
      <c r="C6" s="10">
        <v>92847</v>
      </c>
      <c r="D6" s="10">
        <v>53073</v>
      </c>
      <c r="E6" s="10">
        <v>15772</v>
      </c>
      <c r="F6" s="10">
        <v>61286</v>
      </c>
      <c r="G6" s="10">
        <v>24570.299999999967</v>
      </c>
      <c r="H6" s="10">
        <v>362.40100000000007</v>
      </c>
      <c r="I6" s="10">
        <v>25529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9689-1AF0-4D0A-8B33-3698098FE5C3}">
  <sheetPr codeName="Sheet2"/>
  <dimension ref="A1:T769"/>
  <sheetViews>
    <sheetView topLeftCell="A2" workbookViewId="0">
      <selection activeCell="A2" sqref="A2:I769"/>
    </sheetView>
  </sheetViews>
  <sheetFormatPr defaultRowHeight="14.4"/>
  <cols>
    <col min="1" max="1" width="13" customWidth="1"/>
    <col min="2" max="2" width="9.6640625" customWidth="1"/>
    <col min="3" max="3" width="16.21875" customWidth="1"/>
    <col min="4" max="4" width="16" customWidth="1"/>
    <col min="7" max="7" width="24.88671875" customWidth="1"/>
    <col min="9" max="9" width="10.5546875" customWidth="1"/>
    <col min="11" max="11" width="19.109375" customWidth="1"/>
    <col min="16" max="16" width="13.77734375" customWidth="1"/>
    <col min="17" max="17" width="15.21875" customWidth="1"/>
    <col min="19" max="20" width="8.88671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0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20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20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20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  <c r="L5" s="6" t="s">
        <v>22</v>
      </c>
      <c r="M5" s="6" t="s">
        <v>0</v>
      </c>
      <c r="N5" s="6" t="s">
        <v>1</v>
      </c>
      <c r="O5" s="6" t="s">
        <v>2</v>
      </c>
      <c r="P5" s="6" t="s">
        <v>3</v>
      </c>
      <c r="Q5" s="6" t="s">
        <v>4</v>
      </c>
      <c r="R5" s="6" t="s">
        <v>5</v>
      </c>
      <c r="S5" s="6" t="s">
        <v>6</v>
      </c>
      <c r="T5" s="6" t="s">
        <v>7</v>
      </c>
    </row>
    <row r="6" spans="1:20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  <c r="L6" s="6" t="s">
        <v>9</v>
      </c>
      <c r="M6" s="6">
        <f>AVERAGE(A2:A769)</f>
        <v>3.8450520833333335</v>
      </c>
      <c r="N6" s="6">
        <f t="shared" ref="N6:T6" si="0">AVERAGE(B2:B769)</f>
        <v>120.89453125</v>
      </c>
      <c r="O6" s="6">
        <f t="shared" si="0"/>
        <v>69.10546875</v>
      </c>
      <c r="P6" s="6">
        <f t="shared" si="0"/>
        <v>20.536458333333332</v>
      </c>
      <c r="Q6" s="6">
        <f t="shared" si="0"/>
        <v>79.799479166666671</v>
      </c>
      <c r="R6" s="6">
        <f t="shared" si="0"/>
        <v>31.992578124999977</v>
      </c>
      <c r="S6" s="6">
        <f t="shared" si="0"/>
        <v>0.4718763020833327</v>
      </c>
      <c r="T6" s="6">
        <f t="shared" si="0"/>
        <v>33.240885416666664</v>
      </c>
    </row>
    <row r="7" spans="1:20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  <c r="L7" s="6" t="s">
        <v>11</v>
      </c>
      <c r="M7" s="6">
        <f t="shared" ref="M7:T7" si="1">MEDIAN(A2:A769)</f>
        <v>3</v>
      </c>
      <c r="N7" s="6">
        <f t="shared" si="1"/>
        <v>117</v>
      </c>
      <c r="O7" s="6">
        <f t="shared" si="1"/>
        <v>72</v>
      </c>
      <c r="P7" s="6">
        <f t="shared" si="1"/>
        <v>23</v>
      </c>
      <c r="Q7" s="6">
        <f t="shared" si="1"/>
        <v>30.5</v>
      </c>
      <c r="R7" s="6">
        <f t="shared" si="1"/>
        <v>32</v>
      </c>
      <c r="S7" s="6">
        <f t="shared" si="1"/>
        <v>0.3725</v>
      </c>
      <c r="T7" s="6">
        <f t="shared" si="1"/>
        <v>29</v>
      </c>
    </row>
    <row r="8" spans="1:20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  <c r="L8" s="6" t="s">
        <v>23</v>
      </c>
      <c r="M8" s="6">
        <f t="shared" ref="M8:T8" si="2">MIN(A2:A769)</f>
        <v>0</v>
      </c>
      <c r="N8" s="6">
        <f t="shared" si="2"/>
        <v>0</v>
      </c>
      <c r="O8" s="6">
        <f t="shared" si="2"/>
        <v>0</v>
      </c>
      <c r="P8" s="6">
        <f t="shared" si="2"/>
        <v>0</v>
      </c>
      <c r="Q8" s="6">
        <f t="shared" si="2"/>
        <v>0</v>
      </c>
      <c r="R8" s="6">
        <f t="shared" si="2"/>
        <v>0</v>
      </c>
      <c r="S8" s="6">
        <f t="shared" si="2"/>
        <v>7.8E-2</v>
      </c>
      <c r="T8" s="6">
        <f t="shared" si="2"/>
        <v>21</v>
      </c>
    </row>
    <row r="9" spans="1:20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  <c r="L9" s="6" t="s">
        <v>24</v>
      </c>
      <c r="M9" s="6">
        <f t="shared" ref="M9:T9" si="3">MAX(A2:A769)</f>
        <v>17</v>
      </c>
      <c r="N9" s="6">
        <f t="shared" si="3"/>
        <v>199</v>
      </c>
      <c r="O9" s="6">
        <f t="shared" si="3"/>
        <v>122</v>
      </c>
      <c r="P9" s="6">
        <f t="shared" si="3"/>
        <v>99</v>
      </c>
      <c r="Q9" s="6">
        <f t="shared" si="3"/>
        <v>846</v>
      </c>
      <c r="R9" s="6">
        <f t="shared" si="3"/>
        <v>67.099999999999994</v>
      </c>
      <c r="S9" s="6">
        <f t="shared" si="3"/>
        <v>2.42</v>
      </c>
      <c r="T9" s="6">
        <f t="shared" si="3"/>
        <v>81</v>
      </c>
    </row>
    <row r="10" spans="1:20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  <c r="L10" s="6" t="s">
        <v>25</v>
      </c>
      <c r="M10" s="6">
        <f t="shared" ref="M10:T10" si="4">STDEV(A2:A769)</f>
        <v>3.3695780626988698</v>
      </c>
      <c r="N10" s="6">
        <f t="shared" si="4"/>
        <v>31.972618195136221</v>
      </c>
      <c r="O10" s="6">
        <f t="shared" si="4"/>
        <v>19.355807170644777</v>
      </c>
      <c r="P10" s="6">
        <f t="shared" si="4"/>
        <v>15.952217567727637</v>
      </c>
      <c r="Q10" s="6">
        <f t="shared" si="4"/>
        <v>115.24400235133817</v>
      </c>
      <c r="R10" s="6">
        <f t="shared" si="4"/>
        <v>7.8841603203755675</v>
      </c>
      <c r="S10" s="6">
        <f t="shared" si="4"/>
        <v>0.33132859501277545</v>
      </c>
      <c r="T10" s="6">
        <f t="shared" si="4"/>
        <v>11.760231540678683</v>
      </c>
    </row>
    <row r="11" spans="1:20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  <c r="L11" s="6" t="s">
        <v>21</v>
      </c>
      <c r="M11" s="6">
        <f t="shared" ref="M11:T11" si="5">COUNT(A2:A769)</f>
        <v>768</v>
      </c>
      <c r="N11" s="6">
        <f t="shared" si="5"/>
        <v>768</v>
      </c>
      <c r="O11" s="6">
        <f t="shared" si="5"/>
        <v>768</v>
      </c>
      <c r="P11" s="6">
        <f t="shared" si="5"/>
        <v>768</v>
      </c>
      <c r="Q11" s="6">
        <f t="shared" si="5"/>
        <v>768</v>
      </c>
      <c r="R11" s="6">
        <f t="shared" si="5"/>
        <v>768</v>
      </c>
      <c r="S11" s="6">
        <f t="shared" si="5"/>
        <v>768</v>
      </c>
      <c r="T11" s="6">
        <f t="shared" si="5"/>
        <v>768</v>
      </c>
    </row>
    <row r="12" spans="1:20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  <c r="L12" s="6" t="s">
        <v>26</v>
      </c>
      <c r="M12" s="6">
        <f t="shared" ref="M12:T12" si="6">COUNTIF(A2:A769,0)</f>
        <v>111</v>
      </c>
      <c r="N12" s="6">
        <f t="shared" si="6"/>
        <v>5</v>
      </c>
      <c r="O12" s="6">
        <f t="shared" si="6"/>
        <v>35</v>
      </c>
      <c r="P12" s="6">
        <f t="shared" si="6"/>
        <v>227</v>
      </c>
      <c r="Q12" s="6">
        <f t="shared" si="6"/>
        <v>374</v>
      </c>
      <c r="R12" s="6">
        <f t="shared" si="6"/>
        <v>11</v>
      </c>
      <c r="S12" s="6">
        <f t="shared" si="6"/>
        <v>0</v>
      </c>
      <c r="T12" s="6">
        <f t="shared" si="6"/>
        <v>0</v>
      </c>
    </row>
    <row r="13" spans="1:20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20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  <c r="K14" t="s">
        <v>27</v>
      </c>
      <c r="L14">
        <f>COLUMNS(Pima[[#Headers],[BloodPressure]:[Outcome]])</f>
        <v>7</v>
      </c>
    </row>
    <row r="15" spans="1:20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  <c r="K15" t="s">
        <v>28</v>
      </c>
      <c r="L15">
        <f>ROWS(A2:A769)</f>
        <v>768</v>
      </c>
    </row>
    <row r="16" spans="1:20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16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  <c r="K17" t="s">
        <v>29</v>
      </c>
      <c r="L17" t="s">
        <v>30</v>
      </c>
      <c r="M17" t="s">
        <v>31</v>
      </c>
    </row>
    <row r="18" spans="1:16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  <c r="K18" t="s">
        <v>32</v>
      </c>
      <c r="L18">
        <f>COUNTBLANK(A2:A769)</f>
        <v>0</v>
      </c>
      <c r="M18">
        <f>COUNTBLANK(A2:A769)/ROWS(A2:A769)</f>
        <v>0</v>
      </c>
    </row>
    <row r="19" spans="1:16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  <c r="K19" t="s">
        <v>33</v>
      </c>
      <c r="L19">
        <f>COUNTBLANK(B2:B769)</f>
        <v>0</v>
      </c>
      <c r="M19">
        <f>COUNTBLANK(B2:B769)/ROWS(B2:B769)</f>
        <v>0</v>
      </c>
    </row>
    <row r="20" spans="1:16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  <c r="K20" t="s">
        <v>34</v>
      </c>
      <c r="L20">
        <f>COUNTBLANK(C2:C769)</f>
        <v>0</v>
      </c>
      <c r="M20">
        <f>COUNTBLANK(C2:C769)/ROWS(C2:C769)</f>
        <v>0</v>
      </c>
    </row>
    <row r="21" spans="1:16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  <c r="K21" t="s">
        <v>35</v>
      </c>
      <c r="L21">
        <f>COUNTBLANK(D2:D769)</f>
        <v>0</v>
      </c>
      <c r="M21">
        <f>COUNTBLANK(D2:D769)/ROWS(D2:D769)</f>
        <v>0</v>
      </c>
    </row>
    <row r="22" spans="1:16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  <c r="K22" t="s">
        <v>36</v>
      </c>
      <c r="L22">
        <f>COUNTBLANK(E2:E769)</f>
        <v>0</v>
      </c>
      <c r="M22">
        <f>COUNTBLANK(E2:E769)/ROWS(E2:E769)</f>
        <v>0</v>
      </c>
    </row>
    <row r="23" spans="1:16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  <c r="K23" t="s">
        <v>37</v>
      </c>
      <c r="L23">
        <f>COUNTBLANK(F2:F769)</f>
        <v>0</v>
      </c>
      <c r="M23">
        <f>COUNTBLANK(F2:F769)/ROWS(F2:F769)</f>
        <v>0</v>
      </c>
    </row>
    <row r="24" spans="1:16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  <c r="K24" t="s">
        <v>38</v>
      </c>
      <c r="L24">
        <f>COUNTBLANK(G2:G769)</f>
        <v>0</v>
      </c>
      <c r="M24">
        <f>COUNTBLANK(G2:G769)/ROWS(G2:G769)</f>
        <v>0</v>
      </c>
    </row>
    <row r="25" spans="1:16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  <c r="K25" t="s">
        <v>39</v>
      </c>
      <c r="L25">
        <f>COUNTBLANK(H2:H769)</f>
        <v>0</v>
      </c>
      <c r="M25">
        <f>COUNTBLANK(H2:H769)/ROWS(H2:H769)</f>
        <v>0</v>
      </c>
    </row>
    <row r="26" spans="1:16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  <c r="K26" t="s">
        <v>40</v>
      </c>
      <c r="L26">
        <f>COUNTBLANK(I2:I769)</f>
        <v>0</v>
      </c>
      <c r="M26">
        <f>COUNTBLANK(I2:I769)/ROWS(I2:I769)</f>
        <v>0</v>
      </c>
    </row>
    <row r="27" spans="1:16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16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16" ht="28.8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  <c r="K29" s="3" t="s">
        <v>29</v>
      </c>
      <c r="L29" s="3" t="s">
        <v>41</v>
      </c>
      <c r="M29" s="3" t="s">
        <v>42</v>
      </c>
      <c r="N29" s="3" t="s">
        <v>43</v>
      </c>
      <c r="O29" s="3" t="s">
        <v>44</v>
      </c>
      <c r="P29" s="3" t="s">
        <v>45</v>
      </c>
    </row>
    <row r="30" spans="1:16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  <c r="K30" s="4" t="s">
        <v>32</v>
      </c>
      <c r="L30" s="5">
        <f>_xlfn.PERCENTILE.EXC(A2:A769,0.25)</f>
        <v>1</v>
      </c>
      <c r="M30" s="5">
        <f>_xlfn.PERCENTILE.EXC(A2:A769,0.75)</f>
        <v>6</v>
      </c>
      <c r="N30" s="5">
        <f>C2-B2</f>
        <v>-76</v>
      </c>
      <c r="O30" s="5">
        <f>B2-1.5*C2</f>
        <v>40</v>
      </c>
      <c r="P30" s="5">
        <f>C2+1.5*C2</f>
        <v>180</v>
      </c>
    </row>
    <row r="31" spans="1:16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  <c r="K31" s="4" t="s">
        <v>33</v>
      </c>
      <c r="L31" s="5">
        <f>_xlfn.PERCENTILE.EXC(B2:B769,0.25)</f>
        <v>99</v>
      </c>
      <c r="M31" s="5">
        <f>_xlfn.PERCENTILE.EXC(B2:B769,0.75)</f>
        <v>140.75</v>
      </c>
      <c r="N31" s="5">
        <f>E2-D2</f>
        <v>-35</v>
      </c>
      <c r="O31" s="5">
        <f>D2-1.5*E2</f>
        <v>35</v>
      </c>
      <c r="P31" s="5">
        <f>E2+1.5*E2</f>
        <v>0</v>
      </c>
    </row>
    <row r="32" spans="1:16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  <c r="K32" s="4" t="s">
        <v>46</v>
      </c>
      <c r="L32" s="5">
        <f>_xlfn.PERCENTILE.EXC(C2:C769,0.25)</f>
        <v>62</v>
      </c>
      <c r="M32" s="5">
        <f>_xlfn.PERCENTILE.EXC(C2:C769,0.75)</f>
        <v>80</v>
      </c>
      <c r="N32" s="5">
        <f>G2-F2</f>
        <v>-32.972999999999999</v>
      </c>
      <c r="O32" s="5">
        <f>F2-1.5*G2</f>
        <v>32.659500000000001</v>
      </c>
      <c r="P32" s="5">
        <f>G2+1.5*G2</f>
        <v>1.5674999999999999</v>
      </c>
    </row>
    <row r="33" spans="1:19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  <c r="K33" s="4" t="s">
        <v>47</v>
      </c>
      <c r="L33" s="5">
        <f>_xlfn.PERCENTILE.EXC(D2:D769,0.25)</f>
        <v>0</v>
      </c>
      <c r="M33" s="5">
        <f>_xlfn.PERCENTILE.EXC(D2:D769,0.75)</f>
        <v>32</v>
      </c>
      <c r="N33" s="5">
        <f>I2-H2</f>
        <v>-49</v>
      </c>
      <c r="O33" s="5">
        <f>H2-1.5*I2</f>
        <v>48.5</v>
      </c>
      <c r="P33" s="5">
        <f>H2+1.5*I2</f>
        <v>51.5</v>
      </c>
    </row>
    <row r="34" spans="1:19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  <c r="K34" s="4" t="s">
        <v>36</v>
      </c>
      <c r="L34" s="5">
        <f>_xlfn.PERCENTILE.EXC(E2:E769,0.25)</f>
        <v>0</v>
      </c>
      <c r="M34" s="5">
        <f>_xlfn.PERCENTILE.EXC(E2:E769,0.75)</f>
        <v>127.75</v>
      </c>
      <c r="N34" s="5">
        <f>K2-J2</f>
        <v>0</v>
      </c>
      <c r="O34" s="5">
        <f>J2-1.5*K2</f>
        <v>0</v>
      </c>
      <c r="P34" s="5">
        <f>J2+1.5*K2</f>
        <v>0</v>
      </c>
    </row>
    <row r="35" spans="1:19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  <c r="K35" s="4" t="s">
        <v>37</v>
      </c>
      <c r="L35" s="5">
        <f>_xlfn.PERCENTILE.EXC(F2:F769,0.25)</f>
        <v>27.3</v>
      </c>
      <c r="M35" s="5">
        <f>_xlfn.PERCENTILE.EXC(F2:F769,0.75)</f>
        <v>36.6</v>
      </c>
      <c r="N35" s="5">
        <f>M2-L2</f>
        <v>0</v>
      </c>
      <c r="O35" s="5">
        <f>L2-1.5*M2</f>
        <v>0</v>
      </c>
      <c r="P35" s="5">
        <f>L2+1.5*M2</f>
        <v>0</v>
      </c>
    </row>
    <row r="36" spans="1:19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  <c r="K36" s="4" t="s">
        <v>48</v>
      </c>
      <c r="L36" s="5">
        <f>_xlfn.PERCENTILE.EXC(G2:G769,0.25)</f>
        <v>0.24324999999999999</v>
      </c>
      <c r="M36" s="5">
        <f>_xlfn.PERCENTILE.EXC(G2:G769,0.75)</f>
        <v>0.62675000000000003</v>
      </c>
      <c r="N36" s="5">
        <f>O2-N2</f>
        <v>0</v>
      </c>
      <c r="O36" s="5">
        <f>N2-1.5*O2</f>
        <v>0</v>
      </c>
      <c r="P36" s="5">
        <f>N2+1.5*O2</f>
        <v>0</v>
      </c>
    </row>
    <row r="37" spans="1:19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  <c r="K37" s="4" t="s">
        <v>39</v>
      </c>
      <c r="L37" s="5">
        <f>_xlfn.PERCENTILE.EXC(H2:H769,0.25)</f>
        <v>24</v>
      </c>
      <c r="M37" s="5">
        <f>_xlfn.PERCENTILE.EXC(H2:H769,0.75)</f>
        <v>41</v>
      </c>
      <c r="N37" s="5">
        <f>Q2-P2</f>
        <v>0</v>
      </c>
      <c r="O37" s="5">
        <f>P2-1.5*Q2</f>
        <v>0</v>
      </c>
      <c r="P37" s="5">
        <f>P2+1.5*Q2</f>
        <v>0</v>
      </c>
    </row>
    <row r="38" spans="1:19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19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19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19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19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19" ht="42.6" customHeight="1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  <c r="K43" s="3"/>
      <c r="L43" s="3" t="s">
        <v>0</v>
      </c>
      <c r="M43" s="3" t="s">
        <v>1</v>
      </c>
      <c r="N43" s="3" t="s">
        <v>2</v>
      </c>
      <c r="O43" s="3" t="s">
        <v>3</v>
      </c>
      <c r="P43" s="3" t="s">
        <v>4</v>
      </c>
      <c r="Q43" s="3" t="s">
        <v>5</v>
      </c>
      <c r="R43" s="3" t="s">
        <v>6</v>
      </c>
      <c r="S43" s="3" t="s">
        <v>7</v>
      </c>
    </row>
    <row r="44" spans="1:19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  <c r="K44" s="7" t="s">
        <v>32</v>
      </c>
      <c r="L44" s="5">
        <f>CORREL(A2:A769,A2:A769)</f>
        <v>1</v>
      </c>
      <c r="M44" s="5">
        <f>CORREL(A2:A769,B2:B769)</f>
        <v>0.12945867149927301</v>
      </c>
      <c r="N44" s="5">
        <f>CORREL(A2:A769,C2:C769)</f>
        <v>0.14128197740714024</v>
      </c>
      <c r="O44" s="5">
        <f>CORREL(A2:A769,D2:D769)</f>
        <v>-8.1671774449007015E-2</v>
      </c>
      <c r="P44" s="5">
        <f>CORREL(A2:A769,E2:E769)</f>
        <v>-7.3534614351628086E-2</v>
      </c>
      <c r="Q44" s="5">
        <f>CORREL(A2:A769,F2:F769)</f>
        <v>1.7683090727830669E-2</v>
      </c>
      <c r="R44" s="5">
        <f>CORREL(A2:A769,G2:G769)</f>
        <v>-3.3522672962613256E-2</v>
      </c>
      <c r="S44" s="5">
        <f>CORREL(A2:A769,H2:H769)</f>
        <v>0.54434122840233867</v>
      </c>
    </row>
    <row r="45" spans="1:19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  <c r="K45" s="7" t="s">
        <v>33</v>
      </c>
      <c r="L45" s="5">
        <f>CORREL(B2:B769,A2:A769)</f>
        <v>0.12945867149927301</v>
      </c>
      <c r="M45" s="5">
        <f>CORREL(B2:B769,B2:B769)</f>
        <v>1</v>
      </c>
      <c r="N45" s="5">
        <f>CORREL(B2:B769,C2:C769)</f>
        <v>0.15258958656866448</v>
      </c>
      <c r="O45" s="5">
        <f>CORREL(B2:B769,D2:D769)</f>
        <v>5.7327890738176839E-2</v>
      </c>
      <c r="P45" s="5">
        <f>CORREL(B2:B769,E2:E769)</f>
        <v>0.33135710992020811</v>
      </c>
      <c r="Q45" s="5">
        <f>CORREL(B2:B769,F2:F769)</f>
        <v>0.22107106945898305</v>
      </c>
      <c r="R45" s="5">
        <f>CORREL(B2:B769,G2:G769)</f>
        <v>0.13733729982837078</v>
      </c>
      <c r="S45" s="5">
        <f>CORREL(B2:B769,H2:H769)</f>
        <v>0.26351431982433376</v>
      </c>
    </row>
    <row r="46" spans="1:19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  <c r="K46" s="7" t="s">
        <v>34</v>
      </c>
      <c r="L46" s="5">
        <f>CORREL(C2:C769,A2:A769)</f>
        <v>0.14128197740714024</v>
      </c>
      <c r="M46" s="5">
        <f>CORREL(C2:C769,B2:B769)</f>
        <v>0.15258958656866448</v>
      </c>
      <c r="N46" s="5">
        <f>CORREL(C2:C769,C2:C769)</f>
        <v>1</v>
      </c>
      <c r="O46" s="5">
        <f>CORREL(C2:C769,D2:D769)</f>
        <v>0.20737053840307029</v>
      </c>
      <c r="P46" s="5">
        <f>CORREL(C2:C769,E2:E769)</f>
        <v>8.8933378373192928E-2</v>
      </c>
      <c r="Q46" s="5">
        <f>CORREL(C2:C769,F2:F769)</f>
        <v>0.2818052888499108</v>
      </c>
      <c r="R46" s="5">
        <f>CORREL(C2:C769,G2:G769)</f>
        <v>4.1264947930098564E-2</v>
      </c>
      <c r="S46" s="5">
        <f>CORREL(C2:C769,H2:H769)</f>
        <v>0.23952794642136377</v>
      </c>
    </row>
    <row r="47" spans="1:19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  <c r="K47" s="7" t="s">
        <v>35</v>
      </c>
      <c r="L47" s="5">
        <f>CORREL(D2:D769,A2:A769)</f>
        <v>-8.1671774449007015E-2</v>
      </c>
      <c r="M47" s="5">
        <f>CORREL(D2:D769,B2:B769)</f>
        <v>5.7327890738176839E-2</v>
      </c>
      <c r="N47" s="5">
        <f>CORREL(D2:D769,C2:C769)</f>
        <v>0.20737053840307029</v>
      </c>
      <c r="O47" s="5">
        <f>CORREL(D2:D769,D2:D769)</f>
        <v>1</v>
      </c>
      <c r="P47" s="5">
        <f>CORREL(D2:D769,E2:E769)</f>
        <v>0.43678257012001009</v>
      </c>
      <c r="Q47" s="5">
        <f>CORREL(D2:D769,F2:F769)</f>
        <v>0.39257320415903751</v>
      </c>
      <c r="R47" s="5">
        <f>CORREL(D2:D769,G2:G769)</f>
        <v>0.18392757295416276</v>
      </c>
      <c r="S47" s="5">
        <f>CORREL(D2:D769,H2:H769)</f>
        <v>-0.11397026236774202</v>
      </c>
    </row>
    <row r="48" spans="1:19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  <c r="K48" s="7" t="s">
        <v>36</v>
      </c>
      <c r="L48" s="5">
        <f>CORREL(E2:E769,A2:A769)</f>
        <v>-7.3534614351628086E-2</v>
      </c>
      <c r="M48" s="5">
        <f>CORREL(E2:E769,B2:B769)</f>
        <v>0.33135710992020811</v>
      </c>
      <c r="N48" s="5">
        <f>CORREL(E2:E769,C2:C769)</f>
        <v>8.8933378373192928E-2</v>
      </c>
      <c r="O48" s="5">
        <f>CORREL(E2:E769,D2:D769)</f>
        <v>0.43678257012001009</v>
      </c>
      <c r="P48" s="5">
        <f>CORREL(E2:E769,E2:E769)</f>
        <v>1</v>
      </c>
      <c r="Q48" s="5">
        <f>CORREL(E2:E769,F2:F769)</f>
        <v>0.19785905649310057</v>
      </c>
      <c r="R48" s="5">
        <f>CORREL(E2:E769,G2:G769)</f>
        <v>0.18507092916809922</v>
      </c>
      <c r="S48" s="5">
        <f>CORREL(E2:E769,H2:H769)</f>
        <v>-4.2162954735376658E-2</v>
      </c>
    </row>
    <row r="49" spans="1:19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  <c r="K49" s="7" t="s">
        <v>37</v>
      </c>
      <c r="L49" s="5">
        <f>CORREL(F2:F769,A2:A769)</f>
        <v>1.7683090727830669E-2</v>
      </c>
      <c r="M49" s="5">
        <f>CORREL(F2:F769,B2:B769)</f>
        <v>0.22107106945898305</v>
      </c>
      <c r="N49" s="5">
        <f>CORREL(F2:F769,C2:C769)</f>
        <v>0.2818052888499108</v>
      </c>
      <c r="O49" s="5">
        <f>CORREL(F2:F769,D2:D769)</f>
        <v>0.39257320415903751</v>
      </c>
      <c r="P49" s="5">
        <f>CORREL(F2:F769,E2:E769)</f>
        <v>0.19785905649310057</v>
      </c>
      <c r="Q49" s="5">
        <f>CORREL(F2:F769,F2:F769)</f>
        <v>1</v>
      </c>
      <c r="R49" s="5">
        <f>CORREL(F2:F769,G2:G769)</f>
        <v>0.14064695254510542</v>
      </c>
      <c r="S49" s="5">
        <f>CORREL(F2:F769,H2:H769)</f>
        <v>3.6241870092294085E-2</v>
      </c>
    </row>
    <row r="50" spans="1:19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  <c r="K50" s="7" t="s">
        <v>48</v>
      </c>
      <c r="L50" s="5">
        <f>CORREL(G2:G769,A2:A769)</f>
        <v>-3.3522672962613256E-2</v>
      </c>
      <c r="M50" s="5">
        <f>CORREL(G2:G769,B2:B769)</f>
        <v>0.13733729982837078</v>
      </c>
      <c r="N50" s="5">
        <f>CORREL(G2:G769,C2:C769)</f>
        <v>4.1264947930098564E-2</v>
      </c>
      <c r="O50" s="5">
        <f>CORREL(G2:G769,D2:D769)</f>
        <v>0.18392757295416276</v>
      </c>
      <c r="P50" s="5">
        <f>CORREL(G2:G769,E2:E769)</f>
        <v>0.18507092916809922</v>
      </c>
      <c r="Q50" s="5">
        <f>CORREL(G2:G769,F2:F769)</f>
        <v>0.14064695254510542</v>
      </c>
      <c r="R50" s="5">
        <f>CORREL(G2:G769,G2:G769)</f>
        <v>1</v>
      </c>
      <c r="S50" s="5">
        <f>CORREL(G2:G769,H2:H769)</f>
        <v>3.3561312434805576E-2</v>
      </c>
    </row>
    <row r="51" spans="1:19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  <c r="K51" s="7" t="s">
        <v>39</v>
      </c>
      <c r="L51" s="5">
        <f>CORREL(H2:H769,A2:A769)</f>
        <v>0.54434122840233867</v>
      </c>
      <c r="M51" s="5">
        <f>CORREL(H2:H769,B2:B769)</f>
        <v>0.26351431982433376</v>
      </c>
      <c r="N51" s="5">
        <f>CORREL(H2:H769,C2:C769)</f>
        <v>0.23952794642136377</v>
      </c>
      <c r="O51" s="5">
        <f>CORREL(H2:H769,D2:D769)</f>
        <v>-0.11397026236774202</v>
      </c>
      <c r="P51" s="5">
        <f>CORREL(H2:H769,E2:E769)</f>
        <v>-4.2162954735376658E-2</v>
      </c>
      <c r="Q51" s="5">
        <f>CORREL(H2:H769,F2:F769)</f>
        <v>3.6241870092294085E-2</v>
      </c>
      <c r="R51" s="5">
        <f>CORREL(H2:H769,G2:G769)</f>
        <v>3.3561312434805576E-2</v>
      </c>
      <c r="S51" s="5">
        <f>CORREL(H2:H769,H2:H769)</f>
        <v>1</v>
      </c>
    </row>
    <row r="52" spans="1:19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19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19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19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19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19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19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19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19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19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19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19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19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2DC7-B309-4D68-ACBD-B937895524EF}">
  <sheetPr codeName="Sheet5"/>
  <dimension ref="A1"/>
  <sheetViews>
    <sheetView topLeftCell="A25" workbookViewId="0">
      <selection activeCell="U106" sqref="U106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pima</vt:lpstr>
      <vt:lpstr>EDA_Charts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Huỳnh Nhật Minh</cp:lastModifiedBy>
  <dcterms:created xsi:type="dcterms:W3CDTF">2025-10-04T09:18:33Z</dcterms:created>
  <dcterms:modified xsi:type="dcterms:W3CDTF">2025-10-06T16:28:49Z</dcterms:modified>
</cp:coreProperties>
</file>